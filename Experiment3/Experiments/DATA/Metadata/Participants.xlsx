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L:\NAIST\HuRoLab\DATA\Experiments\Experiment3\Experiments\DATA\Metadata\"/>
    </mc:Choice>
  </mc:AlternateContent>
  <xr:revisionPtr revIDLastSave="0" documentId="13_ncr:1_{681F1697-9CD7-4616-9AD0-A538C8381F85}" xr6:coauthVersionLast="47" xr6:coauthVersionMax="47" xr10:uidLastSave="{00000000-0000-0000-0000-000000000000}"/>
  <bookViews>
    <workbookView xWindow="31770" yWindow="960" windowWidth="21600" windowHeight="126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7" i="1" l="1"/>
  <c r="AC37" i="1"/>
  <c r="AD37" i="1"/>
  <c r="AE37" i="1"/>
  <c r="AF37" i="1"/>
  <c r="AG37" i="1"/>
  <c r="AH37" i="1"/>
  <c r="AI37" i="1"/>
  <c r="AA37" i="1"/>
  <c r="AJ37" i="1"/>
  <c r="Z37" i="1"/>
  <c r="Y37" i="1"/>
  <c r="X37" i="1"/>
  <c r="W37" i="1"/>
  <c r="V37" i="1"/>
  <c r="U37" i="1"/>
  <c r="T37" i="1"/>
  <c r="S37" i="1"/>
  <c r="R37" i="1"/>
  <c r="Q37" i="1"/>
  <c r="P36" i="1"/>
  <c r="O36" i="1"/>
  <c r="N36" i="1"/>
  <c r="M36" i="1"/>
  <c r="L36" i="1"/>
  <c r="K36" i="1"/>
  <c r="J36" i="1"/>
  <c r="I36" i="1"/>
  <c r="H36" i="1"/>
  <c r="G36" i="1"/>
  <c r="P35" i="1"/>
  <c r="O35" i="1"/>
  <c r="N35" i="1"/>
  <c r="M35" i="1"/>
  <c r="L35" i="1"/>
  <c r="K35" i="1"/>
  <c r="J35" i="1"/>
  <c r="I35" i="1"/>
  <c r="H35" i="1"/>
  <c r="G35" i="1"/>
  <c r="P34" i="1"/>
  <c r="O34" i="1"/>
  <c r="N34" i="1"/>
  <c r="M34" i="1"/>
  <c r="L34" i="1"/>
  <c r="K34" i="1"/>
  <c r="J34" i="1"/>
  <c r="I34" i="1"/>
  <c r="H34" i="1"/>
  <c r="G34" i="1"/>
  <c r="P33" i="1"/>
  <c r="O33" i="1"/>
  <c r="N33" i="1"/>
  <c r="M33" i="1"/>
  <c r="L33" i="1"/>
  <c r="K33" i="1"/>
  <c r="J33" i="1"/>
  <c r="I33" i="1"/>
  <c r="H33" i="1"/>
  <c r="G33" i="1"/>
  <c r="P32" i="1"/>
  <c r="O32" i="1"/>
  <c r="N32" i="1"/>
  <c r="M32" i="1"/>
  <c r="L32" i="1"/>
  <c r="K32" i="1"/>
  <c r="J32" i="1"/>
  <c r="I32" i="1"/>
  <c r="H32" i="1"/>
  <c r="G32" i="1"/>
  <c r="P31" i="1"/>
  <c r="O31" i="1"/>
  <c r="N31" i="1"/>
  <c r="M31" i="1"/>
  <c r="L31" i="1"/>
  <c r="K31" i="1"/>
  <c r="J31" i="1"/>
  <c r="I31" i="1"/>
  <c r="H31" i="1"/>
  <c r="G31" i="1"/>
  <c r="P30" i="1"/>
  <c r="O30" i="1"/>
  <c r="N30" i="1"/>
  <c r="M30" i="1"/>
  <c r="L30" i="1"/>
  <c r="K30" i="1"/>
  <c r="J30" i="1"/>
  <c r="I30" i="1"/>
  <c r="H30" i="1"/>
  <c r="G30" i="1"/>
  <c r="P29" i="1"/>
  <c r="O29" i="1"/>
  <c r="N29" i="1"/>
  <c r="M29" i="1"/>
  <c r="L29" i="1"/>
  <c r="K29" i="1"/>
  <c r="J29" i="1"/>
  <c r="I29" i="1"/>
  <c r="H29" i="1"/>
  <c r="G29" i="1"/>
  <c r="P28" i="1"/>
  <c r="O28" i="1"/>
  <c r="N28" i="1"/>
  <c r="M28" i="1"/>
  <c r="L28" i="1"/>
  <c r="K28" i="1"/>
  <c r="J28" i="1"/>
  <c r="I28" i="1"/>
  <c r="H28" i="1"/>
  <c r="G28" i="1"/>
  <c r="P27" i="1"/>
  <c r="O27" i="1"/>
  <c r="N27" i="1"/>
  <c r="M27" i="1"/>
  <c r="L27" i="1"/>
  <c r="K27" i="1"/>
  <c r="J27" i="1"/>
  <c r="I27" i="1"/>
  <c r="H27" i="1"/>
  <c r="G27" i="1"/>
  <c r="P26" i="1"/>
  <c r="O26" i="1"/>
  <c r="N26" i="1"/>
  <c r="M26" i="1"/>
  <c r="L26" i="1"/>
  <c r="K26" i="1"/>
  <c r="J26" i="1"/>
  <c r="I26" i="1"/>
  <c r="H26" i="1"/>
  <c r="G26" i="1"/>
  <c r="P25" i="1"/>
  <c r="O25" i="1"/>
  <c r="N25" i="1"/>
  <c r="M25" i="1"/>
  <c r="L25" i="1"/>
  <c r="K25" i="1"/>
  <c r="J25" i="1"/>
  <c r="I25" i="1"/>
  <c r="H25" i="1"/>
  <c r="G25" i="1"/>
  <c r="P24" i="1"/>
  <c r="O24" i="1"/>
  <c r="N24" i="1"/>
  <c r="M24" i="1"/>
  <c r="L24" i="1"/>
  <c r="K24" i="1"/>
  <c r="J24" i="1"/>
  <c r="I24" i="1"/>
  <c r="H24" i="1"/>
  <c r="G24" i="1"/>
  <c r="P23" i="1"/>
  <c r="O23" i="1"/>
  <c r="N23" i="1"/>
  <c r="M23" i="1"/>
  <c r="L23" i="1"/>
  <c r="K23" i="1"/>
  <c r="J23" i="1"/>
  <c r="I23" i="1"/>
  <c r="H23" i="1"/>
  <c r="G23" i="1"/>
  <c r="P22" i="1"/>
  <c r="O22" i="1"/>
  <c r="N22" i="1"/>
  <c r="M22" i="1"/>
  <c r="L22" i="1"/>
  <c r="K22" i="1"/>
  <c r="J22" i="1"/>
  <c r="I22" i="1"/>
  <c r="H22" i="1"/>
  <c r="G22" i="1"/>
  <c r="P21" i="1"/>
  <c r="O21" i="1"/>
  <c r="N21" i="1"/>
  <c r="M21" i="1"/>
  <c r="L21" i="1"/>
  <c r="K21" i="1"/>
  <c r="J21" i="1"/>
  <c r="I21" i="1"/>
  <c r="H21" i="1"/>
  <c r="G21" i="1"/>
  <c r="P20" i="1"/>
  <c r="O20" i="1"/>
  <c r="N20" i="1"/>
  <c r="M20" i="1"/>
  <c r="L20" i="1"/>
  <c r="K20" i="1"/>
  <c r="J20" i="1"/>
  <c r="I20" i="1"/>
  <c r="H20" i="1"/>
  <c r="G20" i="1"/>
  <c r="P19" i="1"/>
  <c r="O19" i="1"/>
  <c r="N19" i="1"/>
  <c r="M19" i="1"/>
  <c r="L19" i="1"/>
  <c r="K19" i="1"/>
  <c r="J19" i="1"/>
  <c r="I19" i="1"/>
  <c r="H19" i="1"/>
  <c r="G19" i="1"/>
  <c r="P18" i="1"/>
  <c r="O18" i="1"/>
  <c r="N18" i="1"/>
  <c r="M18" i="1"/>
  <c r="L18" i="1"/>
  <c r="K18" i="1"/>
  <c r="J18" i="1"/>
  <c r="I18" i="1"/>
  <c r="H18" i="1"/>
  <c r="G18" i="1"/>
  <c r="P17" i="1"/>
  <c r="O17" i="1"/>
  <c r="N17" i="1"/>
  <c r="M17" i="1"/>
  <c r="L17" i="1"/>
  <c r="K17" i="1"/>
  <c r="J17" i="1"/>
  <c r="I17" i="1"/>
  <c r="H17" i="1"/>
  <c r="G17" i="1"/>
  <c r="P16" i="1"/>
  <c r="O16" i="1"/>
  <c r="N16" i="1"/>
  <c r="M16" i="1"/>
  <c r="L16" i="1"/>
  <c r="K16" i="1"/>
  <c r="J16" i="1"/>
  <c r="I16" i="1"/>
  <c r="H16" i="1"/>
  <c r="G16" i="1"/>
  <c r="P15" i="1"/>
  <c r="O15" i="1"/>
  <c r="N15" i="1"/>
  <c r="M15" i="1"/>
  <c r="L15" i="1"/>
  <c r="K15" i="1"/>
  <c r="J15" i="1"/>
  <c r="I15" i="1"/>
  <c r="H15" i="1"/>
  <c r="G15" i="1"/>
  <c r="P14" i="1"/>
  <c r="O14" i="1"/>
  <c r="N14" i="1"/>
  <c r="M14" i="1"/>
  <c r="L14" i="1"/>
  <c r="K14" i="1"/>
  <c r="J14" i="1"/>
  <c r="I14" i="1"/>
  <c r="H14" i="1"/>
  <c r="G14" i="1"/>
  <c r="P13" i="1"/>
  <c r="O13" i="1"/>
  <c r="N13" i="1"/>
  <c r="M13" i="1"/>
  <c r="L13" i="1"/>
  <c r="K13" i="1"/>
  <c r="J13" i="1"/>
  <c r="I13" i="1"/>
  <c r="H13" i="1"/>
  <c r="G13" i="1"/>
  <c r="P12" i="1"/>
  <c r="O12" i="1"/>
  <c r="N12" i="1"/>
  <c r="M12" i="1"/>
  <c r="L12" i="1"/>
  <c r="K12" i="1"/>
  <c r="J12" i="1"/>
  <c r="I12" i="1"/>
  <c r="H12" i="1"/>
  <c r="G12" i="1"/>
  <c r="P11" i="1"/>
  <c r="O11" i="1"/>
  <c r="N11" i="1"/>
  <c r="M11" i="1"/>
  <c r="L11" i="1"/>
  <c r="K11" i="1"/>
  <c r="J11" i="1"/>
  <c r="I11" i="1"/>
  <c r="H11" i="1"/>
  <c r="G11" i="1"/>
  <c r="P10" i="1"/>
  <c r="O10" i="1"/>
  <c r="N10" i="1"/>
  <c r="M10" i="1"/>
  <c r="L10" i="1"/>
  <c r="K10" i="1"/>
  <c r="J10" i="1"/>
  <c r="I10" i="1"/>
  <c r="H10" i="1"/>
  <c r="G10" i="1"/>
  <c r="P9" i="1"/>
  <c r="O9" i="1"/>
  <c r="N9" i="1"/>
  <c r="M9" i="1"/>
  <c r="L9" i="1"/>
  <c r="K9" i="1"/>
  <c r="J9" i="1"/>
  <c r="I9" i="1"/>
  <c r="H9" i="1"/>
  <c r="G9" i="1"/>
  <c r="P8" i="1"/>
  <c r="O8" i="1"/>
  <c r="N8" i="1"/>
  <c r="M8" i="1"/>
  <c r="L8" i="1"/>
  <c r="K8" i="1"/>
  <c r="J8" i="1"/>
  <c r="I8" i="1"/>
  <c r="H8" i="1"/>
  <c r="G8" i="1"/>
  <c r="P7" i="1"/>
  <c r="O7" i="1"/>
  <c r="N7" i="1"/>
  <c r="M7" i="1"/>
  <c r="L7" i="1"/>
  <c r="K7" i="1"/>
  <c r="J7" i="1"/>
  <c r="I7" i="1"/>
  <c r="H7" i="1"/>
  <c r="G7" i="1"/>
  <c r="P6" i="1"/>
  <c r="O6" i="1"/>
  <c r="N6" i="1"/>
  <c r="M6" i="1"/>
  <c r="L6" i="1"/>
  <c r="K6" i="1"/>
  <c r="J6" i="1"/>
  <c r="I6" i="1"/>
  <c r="H6" i="1"/>
  <c r="G6" i="1"/>
  <c r="P5" i="1"/>
  <c r="O5" i="1"/>
  <c r="N5" i="1"/>
  <c r="M5" i="1"/>
  <c r="L5" i="1"/>
  <c r="K5" i="1"/>
  <c r="J5" i="1"/>
  <c r="I5" i="1"/>
  <c r="H5" i="1"/>
  <c r="G5" i="1"/>
  <c r="P4" i="1"/>
  <c r="O4" i="1"/>
  <c r="N4" i="1"/>
  <c r="M4" i="1"/>
  <c r="L4" i="1"/>
  <c r="K4" i="1"/>
  <c r="J4" i="1"/>
  <c r="I4" i="1"/>
  <c r="H4" i="1"/>
  <c r="G4" i="1"/>
  <c r="P3" i="1"/>
  <c r="O3" i="1"/>
  <c r="N3" i="1"/>
  <c r="M3" i="1"/>
  <c r="L3" i="1"/>
  <c r="K3" i="1"/>
  <c r="J3" i="1"/>
  <c r="I3" i="1"/>
  <c r="H3" i="1"/>
  <c r="G3" i="1"/>
  <c r="P2" i="1"/>
  <c r="P37" i="1" s="1"/>
  <c r="O2" i="1"/>
  <c r="O37" i="1" s="1"/>
  <c r="N2" i="1"/>
  <c r="N37" i="1" s="1"/>
  <c r="M2" i="1"/>
  <c r="M37" i="1" s="1"/>
  <c r="L2" i="1"/>
  <c r="L37" i="1" s="1"/>
  <c r="K2" i="1"/>
  <c r="K37" i="1" s="1"/>
  <c r="J2" i="1"/>
  <c r="J37" i="1" s="1"/>
  <c r="I2" i="1"/>
  <c r="I37" i="1" s="1"/>
  <c r="H2" i="1"/>
  <c r="H37" i="1" s="1"/>
  <c r="G2" i="1"/>
  <c r="G37" i="1" s="1"/>
</calcChain>
</file>

<file path=xl/sharedStrings.xml><?xml version="1.0" encoding="utf-8"?>
<sst xmlns="http://schemas.openxmlformats.org/spreadsheetml/2006/main" count="177" uniqueCount="124">
  <si>
    <t>Participant ID</t>
  </si>
  <si>
    <t>Student ID</t>
  </si>
  <si>
    <t>Name</t>
  </si>
  <si>
    <t>Gender</t>
  </si>
  <si>
    <t>Nationality</t>
  </si>
  <si>
    <t>TestID</t>
  </si>
  <si>
    <t>TIPI 1 O</t>
  </si>
  <si>
    <t>TIPI 1 C</t>
  </si>
  <si>
    <t>TIPI 1 E</t>
  </si>
  <si>
    <t>TIPI 1 A</t>
  </si>
  <si>
    <t>TIPI 1 N</t>
  </si>
  <si>
    <t>TIPI 2 O</t>
  </si>
  <si>
    <t>TIPI 2 C</t>
  </si>
  <si>
    <t>TIPI 2 E</t>
  </si>
  <si>
    <t>TIPI 2 A</t>
  </si>
  <si>
    <t>TIPI 2 N</t>
  </si>
  <si>
    <t>TIPI 1 Item 1</t>
  </si>
  <si>
    <t>TIPI 1 Item 2</t>
  </si>
  <si>
    <t>TIPI 1 Item 3</t>
  </si>
  <si>
    <t>TIPI 1 Item 4</t>
  </si>
  <si>
    <t>TIPI 1 Item 5</t>
  </si>
  <si>
    <t>TIPI 1 Item 6</t>
  </si>
  <si>
    <t>TIPI 1 Item 7</t>
  </si>
  <si>
    <t>TIPI 1 Item 8</t>
  </si>
  <si>
    <t>TIPI 1 Item 9</t>
  </si>
  <si>
    <t>TIPI 1 Item 10</t>
  </si>
  <si>
    <t>TIPI 2 Item 1</t>
  </si>
  <si>
    <t>TIPI 2 Item 2</t>
  </si>
  <si>
    <t>TIPI 2 Item 3</t>
  </si>
  <si>
    <t>TIPI 2 Item 4</t>
  </si>
  <si>
    <t>TIPI 2 Item 5</t>
  </si>
  <si>
    <t>TIPI 2 Item 6</t>
  </si>
  <si>
    <t>TIPI 2 Item 7</t>
  </si>
  <si>
    <t>TIPI 2 Item 8</t>
  </si>
  <si>
    <t>TIPI 2 Item 9</t>
  </si>
  <si>
    <t>TIPI 2 Item 10</t>
  </si>
  <si>
    <t>P1</t>
  </si>
  <si>
    <t>Male</t>
  </si>
  <si>
    <t>Vietnam</t>
  </si>
  <si>
    <t>C0</t>
  </si>
  <si>
    <t>P2</t>
  </si>
  <si>
    <t>Peru</t>
  </si>
  <si>
    <t>C1</t>
  </si>
  <si>
    <t>P5</t>
  </si>
  <si>
    <t>Malaysia</t>
  </si>
  <si>
    <t>C2</t>
  </si>
  <si>
    <t>P3</t>
  </si>
  <si>
    <t>France</t>
  </si>
  <si>
    <t>C3</t>
  </si>
  <si>
    <t>P4</t>
  </si>
  <si>
    <t>China</t>
  </si>
  <si>
    <t>C4</t>
  </si>
  <si>
    <t>P6</t>
  </si>
  <si>
    <t>Indonesia</t>
  </si>
  <si>
    <t>C5</t>
  </si>
  <si>
    <t>P7</t>
  </si>
  <si>
    <t>C6</t>
  </si>
  <si>
    <t>P8</t>
  </si>
  <si>
    <t>Bangladesh</t>
  </si>
  <si>
    <t>C7</t>
  </si>
  <si>
    <t>P9</t>
  </si>
  <si>
    <t>Japan</t>
  </si>
  <si>
    <t>C8</t>
  </si>
  <si>
    <t>P10</t>
  </si>
  <si>
    <t>C9</t>
  </si>
  <si>
    <t>P11</t>
  </si>
  <si>
    <t>C10</t>
  </si>
  <si>
    <t>P14</t>
  </si>
  <si>
    <t>Female</t>
  </si>
  <si>
    <t>Thailand</t>
  </si>
  <si>
    <t>C11</t>
  </si>
  <si>
    <t>P15</t>
  </si>
  <si>
    <t>Philipine</t>
  </si>
  <si>
    <t>C12</t>
  </si>
  <si>
    <t>P25</t>
  </si>
  <si>
    <t>C13</t>
  </si>
  <si>
    <t>P20</t>
  </si>
  <si>
    <t>C14</t>
  </si>
  <si>
    <t>P22</t>
  </si>
  <si>
    <t>Nigeria</t>
  </si>
  <si>
    <t>C15</t>
  </si>
  <si>
    <t>P21</t>
  </si>
  <si>
    <t>C16</t>
  </si>
  <si>
    <t>P24</t>
  </si>
  <si>
    <t>C17</t>
  </si>
  <si>
    <t>P23</t>
  </si>
  <si>
    <t>C18</t>
  </si>
  <si>
    <t>P19</t>
  </si>
  <si>
    <t>Chinese</t>
  </si>
  <si>
    <t>C19</t>
  </si>
  <si>
    <t>P18</t>
  </si>
  <si>
    <t>Moroccan</t>
  </si>
  <si>
    <t>C20</t>
  </si>
  <si>
    <t>P17</t>
  </si>
  <si>
    <t>C21</t>
  </si>
  <si>
    <t>P16</t>
  </si>
  <si>
    <t>Polish</t>
  </si>
  <si>
    <t>C22</t>
  </si>
  <si>
    <t>P13</t>
  </si>
  <si>
    <t>C23</t>
  </si>
  <si>
    <t>P12</t>
  </si>
  <si>
    <t>C24</t>
  </si>
  <si>
    <t>P28</t>
  </si>
  <si>
    <t>C25</t>
  </si>
  <si>
    <t>P27</t>
  </si>
  <si>
    <t>C26</t>
  </si>
  <si>
    <t>P29</t>
  </si>
  <si>
    <t>C27</t>
  </si>
  <si>
    <t>P34</t>
  </si>
  <si>
    <t>Colombian</t>
  </si>
  <si>
    <t>C28</t>
  </si>
  <si>
    <t>P33</t>
  </si>
  <si>
    <t>C29</t>
  </si>
  <si>
    <t>P30</t>
  </si>
  <si>
    <t>C30</t>
  </si>
  <si>
    <t>P31</t>
  </si>
  <si>
    <t>C31</t>
  </si>
  <si>
    <t>P35</t>
  </si>
  <si>
    <t>C32</t>
  </si>
  <si>
    <t>P32</t>
  </si>
  <si>
    <t>C33</t>
  </si>
  <si>
    <t>P26</t>
  </si>
  <si>
    <t>C34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</si>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</sst>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2"/>
      <color rgb="FFFFFFFF"/>
      <name val="Arial"/>
      <family val="2"/>
    </font>
    <font>
      <sz val="11"/>
      <color rgb="FF000000"/>
      <name val="Calibri"/>
      <family val="2"/>
    </font>
    <font>
      <sz val="11"/>
      <color rgb="FF000000"/>
      <name val="Aptos"/>
      <family val="2"/>
    </font>
    <font>
      <sz val="11"/>
      <color rgb="FF434343"/>
      <name val="Aptos"/>
      <family val="2"/>
    </font>
    <font>
      <sz val="11"/>
      <color rgb="FF202124"/>
      <name val="Aptos"/>
      <family val="2"/>
    </font>
    <font>
      <sz val="11"/>
      <color rgb="FF000000"/>
      <name val="Arial"/>
      <family val="2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56082"/>
      </patternFill>
    </fill>
    <fill>
      <patternFill patternType="solid">
        <fgColor rgb="FFFFFFFF"/>
      </patternFill>
    </fill>
    <fill>
      <patternFill patternType="solid">
        <fgColor rgb="FFD9D9D9"/>
      </patternFill>
    </fill>
  </fills>
  <borders count="12">
    <border>
      <left/>
      <right/>
      <top/>
      <bottom/>
      <diagonal/>
    </border>
    <border>
      <left style="thin">
        <color rgb="FF46B1E1"/>
      </left>
      <right style="thin">
        <color rgb="FFC6C6C6"/>
      </right>
      <top style="thin">
        <color rgb="FF46B1E1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46B1E1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46B1E1"/>
      </right>
      <top style="thin">
        <color rgb="FF46B1E1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/>
    </xf>
    <xf numFmtId="3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3" fontId="1" fillId="2" borderId="8" xfId="0" applyNumberFormat="1" applyFont="1" applyFill="1" applyBorder="1" applyAlignment="1">
      <alignment horizontal="left"/>
    </xf>
    <xf numFmtId="0" fontId="2" fillId="0" borderId="9" xfId="0" applyFont="1" applyBorder="1" applyAlignment="1">
      <alignment horizontal="left"/>
    </xf>
    <xf numFmtId="3" fontId="2" fillId="0" borderId="9" xfId="0" applyNumberFormat="1" applyFont="1" applyBorder="1" applyAlignment="1">
      <alignment horizontal="right"/>
    </xf>
    <xf numFmtId="0" fontId="3" fillId="0" borderId="9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3" fontId="4" fillId="3" borderId="9" xfId="0" applyNumberFormat="1" applyFont="1" applyFill="1" applyBorder="1" applyAlignment="1">
      <alignment horizontal="right" wrapText="1"/>
    </xf>
    <xf numFmtId="3" fontId="2" fillId="4" borderId="9" xfId="0" applyNumberFormat="1" applyFont="1" applyFill="1" applyBorder="1" applyAlignment="1">
      <alignment horizontal="right"/>
    </xf>
    <xf numFmtId="0" fontId="5" fillId="3" borderId="9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5" fillId="0" borderId="9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1" xfId="0" applyFont="1" applyBorder="1" applyAlignment="1">
      <alignment horizontal="center"/>
    </xf>
    <xf numFmtId="4" fontId="6" fillId="0" borderId="10" xfId="0" applyNumberFormat="1" applyFont="1" applyBorder="1" applyAlignment="1">
      <alignment horizontal="right"/>
    </xf>
    <xf numFmtId="3" fontId="6" fillId="0" borderId="10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" fontId="1" fillId="2" borderId="2" xfId="0" applyNumberFormat="1" applyFont="1" applyFill="1" applyBorder="1" applyAlignment="1">
      <alignment horizontal="left"/>
    </xf>
    <xf numFmtId="1" fontId="2" fillId="0" borderId="9" xfId="0" applyNumberFormat="1" applyFont="1" applyBorder="1" applyAlignment="1">
      <alignment horizontal="right"/>
    </xf>
    <xf numFmtId="1" fontId="4" fillId="0" borderId="9" xfId="0" applyNumberFormat="1" applyFont="1" applyBorder="1" applyAlignment="1">
      <alignment horizontal="right"/>
    </xf>
    <xf numFmtId="1" fontId="6" fillId="0" borderId="10" xfId="0" applyNumberFormat="1" applyFont="1" applyBorder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J37" totalsRowCount="1">
  <autoFilter ref="A1:AJ36" xr:uid="{00000000-0009-0000-0100-000001000000}"/>
  <tableColumns count="36">
    <tableColumn id="1" xr3:uid="{00000000-0010-0000-0000-000001000000}" name="Participant ID" totalsRowLabel="Total" totalsRowDxfId="35"/>
    <tableColumn id="2" xr3:uid="{00000000-0010-0000-0000-000002000000}" name="Student ID" dataDxfId="36" totalsRowDxfId="34"/>
    <tableColumn id="3" xr3:uid="{00000000-0010-0000-0000-000003000000}" name="Name" totalsRowDxfId="33"/>
    <tableColumn id="4" xr3:uid="{00000000-0010-0000-0000-000004000000}" name="Gender" totalsRowDxfId="32"/>
    <tableColumn id="5" xr3:uid="{00000000-0010-0000-0000-000005000000}" name="Nationality" totalsRowDxfId="31"/>
    <tableColumn id="6" xr3:uid="{00000000-0010-0000-0000-000006000000}" name="TestID" totalsRowDxfId="30"/>
    <tableColumn id="7" xr3:uid="{00000000-0010-0000-0000-000007000000}" name="TIPI 1 O" totalsRowFunction="average" totalsRowDxfId="29"/>
    <tableColumn id="8" xr3:uid="{00000000-0010-0000-0000-000008000000}" name="TIPI 1 C" totalsRowFunction="average" totalsRowDxfId="28"/>
    <tableColumn id="9" xr3:uid="{00000000-0010-0000-0000-000009000000}" name="TIPI 1 E" totalsRowFunction="average" totalsRowDxfId="27"/>
    <tableColumn id="10" xr3:uid="{00000000-0010-0000-0000-00000A000000}" name="TIPI 1 A" totalsRowFunction="average" totalsRowDxfId="26"/>
    <tableColumn id="11" xr3:uid="{00000000-0010-0000-0000-00000B000000}" name="TIPI 1 N" totalsRowFunction="average" totalsRowDxfId="25"/>
    <tableColumn id="12" xr3:uid="{00000000-0010-0000-0000-00000C000000}" name="TIPI 2 O" totalsRowFunction="average" totalsRowDxfId="24"/>
    <tableColumn id="13" xr3:uid="{00000000-0010-0000-0000-00000D000000}" name="TIPI 2 C" totalsRowFunction="average" totalsRowDxfId="23"/>
    <tableColumn id="14" xr3:uid="{00000000-0010-0000-0000-00000E000000}" name="TIPI 2 E" totalsRowFunction="average" totalsRowDxfId="22"/>
    <tableColumn id="15" xr3:uid="{00000000-0010-0000-0000-00000F000000}" name="TIPI 2 A" totalsRowFunction="average" totalsRowDxfId="21"/>
    <tableColumn id="16" xr3:uid="{00000000-0010-0000-0000-000010000000}" name="TIPI 2 N" totalsRowFunction="average" totalsRowDxfId="20"/>
    <tableColumn id="17" xr3:uid="{00000000-0010-0000-0000-000011000000}" name="TIPI 1 Item 1" totalsRowFunction="average" totalsRowDxfId="19"/>
    <tableColumn id="18" xr3:uid="{00000000-0010-0000-0000-000012000000}" name="TIPI 1 Item 2" totalsRowFunction="average" totalsRowDxfId="18"/>
    <tableColumn id="19" xr3:uid="{00000000-0010-0000-0000-000013000000}" name="TIPI 1 Item 3" totalsRowFunction="average" totalsRowDxfId="17"/>
    <tableColumn id="20" xr3:uid="{00000000-0010-0000-0000-000014000000}" name="TIPI 1 Item 4" totalsRowFunction="average" totalsRowDxfId="16"/>
    <tableColumn id="21" xr3:uid="{00000000-0010-0000-0000-000015000000}" name="TIPI 1 Item 5" totalsRowFunction="average" totalsRowDxfId="15"/>
    <tableColumn id="22" xr3:uid="{00000000-0010-0000-0000-000016000000}" name="TIPI 1 Item 6" totalsRowFunction="average" totalsRowDxfId="14"/>
    <tableColumn id="23" xr3:uid="{00000000-0010-0000-0000-000017000000}" name="TIPI 1 Item 7" totalsRowFunction="average" totalsRowDxfId="13"/>
    <tableColumn id="24" xr3:uid="{00000000-0010-0000-0000-000018000000}" name="TIPI 1 Item 8" totalsRowFunction="average" totalsRowDxfId="12"/>
    <tableColumn id="25" xr3:uid="{00000000-0010-0000-0000-000019000000}" name="TIPI 1 Item 9" totalsRowFunction="average" totalsRowDxfId="11"/>
    <tableColumn id="26" xr3:uid="{00000000-0010-0000-0000-00001A000000}" name="TIPI 1 Item 10" totalsRowFunction="average" totalsRowDxfId="10"/>
    <tableColumn id="27" xr3:uid="{00000000-0010-0000-0000-00001B000000}" name="TIPI 2 Item 1" totalsRowFunction="average" totalsRowDxfId="9"/>
    <tableColumn id="28" xr3:uid="{00000000-0010-0000-0000-00001C000000}" name="TIPI 2 Item 2" totalsRowFunction="average" totalsRowDxfId="8"/>
    <tableColumn id="29" xr3:uid="{00000000-0010-0000-0000-00001D000000}" name="TIPI 2 Item 3" totalsRowFunction="average" totalsRowDxfId="7"/>
    <tableColumn id="30" xr3:uid="{00000000-0010-0000-0000-00001E000000}" name="TIPI 2 Item 4" totalsRowFunction="average" totalsRowDxfId="6"/>
    <tableColumn id="31" xr3:uid="{00000000-0010-0000-0000-00001F000000}" name="TIPI 2 Item 5" totalsRowFunction="average" totalsRowDxfId="5"/>
    <tableColumn id="32" xr3:uid="{00000000-0010-0000-0000-000020000000}" name="TIPI 2 Item 6" totalsRowFunction="average" totalsRowDxfId="4"/>
    <tableColumn id="33" xr3:uid="{00000000-0010-0000-0000-000021000000}" name="TIPI 2 Item 7" totalsRowFunction="average" totalsRowDxfId="3"/>
    <tableColumn id="34" xr3:uid="{00000000-0010-0000-0000-000022000000}" name="TIPI 2 Item 8" totalsRowFunction="average" totalsRowDxfId="2"/>
    <tableColumn id="35" xr3:uid="{00000000-0010-0000-0000-000023000000}" name="TIPI 2 Item 9" totalsRowFunction="average" totalsRowDxfId="1"/>
    <tableColumn id="36" xr3:uid="{00000000-0010-0000-0000-000024000000}" name="TIPI 2 Item 10" totalsRowFunction="count" totalsRowDxfId="0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J37"/>
  <sheetViews>
    <sheetView tabSelected="1" workbookViewId="0">
      <selection activeCell="B2" sqref="B2:C36"/>
    </sheetView>
  </sheetViews>
  <sheetFormatPr defaultRowHeight="14.25" x14ac:dyDescent="0.2"/>
  <cols>
    <col min="1" max="1" width="15.625" style="25" bestFit="1" customWidth="1"/>
    <col min="2" max="2" width="12.75" style="34" bestFit="1" customWidth="1"/>
    <col min="3" max="3" width="11.75" style="25" bestFit="1" customWidth="1"/>
    <col min="4" max="4" width="11.375" style="25" bestFit="1" customWidth="1"/>
    <col min="5" max="5" width="14" style="25" bestFit="1" customWidth="1"/>
    <col min="6" max="6" width="11.875" style="27" bestFit="1" customWidth="1"/>
    <col min="7" max="8" width="10" style="28" bestFit="1" customWidth="1"/>
    <col min="9" max="10" width="9.875" style="28" bestFit="1" customWidth="1"/>
    <col min="11" max="13" width="10" style="28" bestFit="1" customWidth="1"/>
    <col min="14" max="15" width="9.875" style="28" bestFit="1" customWidth="1"/>
    <col min="16" max="16" width="10" style="28" bestFit="1" customWidth="1"/>
    <col min="17" max="25" width="14.125" style="29" bestFit="1" customWidth="1"/>
    <col min="26" max="26" width="15.25" style="29" bestFit="1" customWidth="1"/>
    <col min="27" max="35" width="14.125" style="26" bestFit="1" customWidth="1"/>
    <col min="36" max="36" width="15.25" style="29" bestFit="1" customWidth="1"/>
  </cols>
  <sheetData>
    <row r="1" spans="1:36" ht="19.5" customHeight="1" x14ac:dyDescent="0.25">
      <c r="A1" s="1" t="s">
        <v>0</v>
      </c>
      <c r="B1" s="30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9" t="s">
        <v>35</v>
      </c>
    </row>
    <row r="2" spans="1:36" ht="19.5" customHeight="1" x14ac:dyDescent="0.25">
      <c r="A2" s="10" t="s">
        <v>36</v>
      </c>
      <c r="B2" s="31"/>
      <c r="C2" s="12"/>
      <c r="D2" s="12" t="s">
        <v>37</v>
      </c>
      <c r="E2" s="12" t="s">
        <v>38</v>
      </c>
      <c r="F2" s="13" t="s">
        <v>39</v>
      </c>
      <c r="G2" s="11">
        <f>Table1[[#This Row], [TIPI 1 Item 5]] + 8 - Table1[[#This Row], [TIPI 1 Item 10]]</f>
        <v>13</v>
      </c>
      <c r="H2" s="11">
        <f>Table1[[#This Row], [TIPI 1 Item 3]] + 8 -Table1[[#This Row], [TIPI 1 Item 8]]</f>
        <v>13</v>
      </c>
      <c r="I2" s="11">
        <f>Table1[[#This Row], [TIPI 1 Item 1]] + 8 - Table1[[#This Row], [TIPI 1 Item 6]]</f>
        <v>10</v>
      </c>
      <c r="J2" s="11">
        <f>Table1[[#This Row], [TIPI 1 Item 7]] + 8 - Table1[[#This Row], [TIPI 1 Item 2]]</f>
        <v>13</v>
      </c>
      <c r="K2" s="11">
        <f>Table1[[#This Row], [TIPI 1 Item 4]] + 8 - Table1[[#This Row], [TIPI 1 Item 9]]</f>
        <v>2</v>
      </c>
      <c r="L2" s="11">
        <f>Table1[[#This Row], [TIPI 2 Item 5]] + 8 - Table1[[#This Row], [TIPI 2 Item 10]]</f>
        <v>12</v>
      </c>
      <c r="M2" s="11">
        <f>Table1[[#This Row], [TIPI 2 Item 3]] + 8 -Table1[[#This Row], [TIPI 2 Item 8]]</f>
        <v>11</v>
      </c>
      <c r="N2" s="11">
        <f>Table1[[#This Row], [TIPI 2 Item 1]] + 8 - Table1[[#This Row], [TIPI 2 Item 6]]</f>
        <v>12</v>
      </c>
      <c r="O2" s="11">
        <f>Table1[[#This Row], [TIPI 2 Item 7]] + 8 - Table1[[#This Row], [TIPI 2 Item 2]]</f>
        <v>9</v>
      </c>
      <c r="P2" s="11">
        <f>Table1[[#This Row], [TIPI 2 Item 4]] + 8 - Table1[[#This Row], [TIPI 2 Item 9]]</f>
        <v>3</v>
      </c>
      <c r="Q2" s="11">
        <v>6</v>
      </c>
      <c r="R2" s="11">
        <v>2</v>
      </c>
      <c r="S2" s="11">
        <v>6</v>
      </c>
      <c r="T2" s="11">
        <v>1</v>
      </c>
      <c r="U2" s="11">
        <v>6</v>
      </c>
      <c r="V2" s="11">
        <v>4</v>
      </c>
      <c r="W2" s="11">
        <v>7</v>
      </c>
      <c r="X2" s="11">
        <v>1</v>
      </c>
      <c r="Y2" s="11">
        <v>7</v>
      </c>
      <c r="Z2" s="11">
        <v>1</v>
      </c>
      <c r="AA2" s="11">
        <v>6</v>
      </c>
      <c r="AB2" s="11">
        <v>5</v>
      </c>
      <c r="AC2" s="11">
        <v>6</v>
      </c>
      <c r="AD2" s="11">
        <v>1</v>
      </c>
      <c r="AE2" s="11">
        <v>6</v>
      </c>
      <c r="AF2" s="11">
        <v>2</v>
      </c>
      <c r="AG2" s="11">
        <v>6</v>
      </c>
      <c r="AH2" s="11">
        <v>3</v>
      </c>
      <c r="AI2" s="11">
        <v>6</v>
      </c>
      <c r="AJ2" s="11">
        <v>2</v>
      </c>
    </row>
    <row r="3" spans="1:36" ht="19.5" customHeight="1" x14ac:dyDescent="0.25">
      <c r="A3" s="10" t="s">
        <v>40</v>
      </c>
      <c r="B3" s="31"/>
      <c r="C3" s="12"/>
      <c r="D3" s="12" t="s">
        <v>37</v>
      </c>
      <c r="E3" s="12" t="s">
        <v>41</v>
      </c>
      <c r="F3" s="13" t="s">
        <v>42</v>
      </c>
      <c r="G3" s="11">
        <f>Table1[[#This Row], [TIPI 1 Item 5]] + 8 - Table1[[#This Row], [TIPI 1 Item 10]]</f>
        <v>10</v>
      </c>
      <c r="H3" s="11">
        <f>Table1[[#This Row], [TIPI 1 Item 3]] + 8 -Table1[[#This Row], [TIPI 1 Item 8]]</f>
        <v>13</v>
      </c>
      <c r="I3" s="11">
        <f>Table1[[#This Row], [TIPI 1 Item 1]] + 8 - Table1[[#This Row], [TIPI 1 Item 6]]</f>
        <v>12</v>
      </c>
      <c r="J3" s="11">
        <f>Table1[[#This Row], [TIPI 1 Item 7]] + 8 - Table1[[#This Row], [TIPI 1 Item 2]]</f>
        <v>14</v>
      </c>
      <c r="K3" s="11">
        <f>Table1[[#This Row], [TIPI 1 Item 4]] + 8 - Table1[[#This Row], [TIPI 1 Item 9]]</f>
        <v>2</v>
      </c>
      <c r="L3" s="11">
        <f>Table1[[#This Row], [TIPI 2 Item 5]] + 8 - Table1[[#This Row], [TIPI 2 Item 10]]</f>
        <v>14</v>
      </c>
      <c r="M3" s="11">
        <f>Table1[[#This Row], [TIPI 2 Item 3]] + 8 -Table1[[#This Row], [TIPI 2 Item 8]]</f>
        <v>13</v>
      </c>
      <c r="N3" s="11">
        <f>Table1[[#This Row], [TIPI 2 Item 1]] + 8 - Table1[[#This Row], [TIPI 2 Item 6]]</f>
        <v>13</v>
      </c>
      <c r="O3" s="11">
        <f>Table1[[#This Row], [TIPI 2 Item 7]] + 8 - Table1[[#This Row], [TIPI 2 Item 2]]</f>
        <v>13</v>
      </c>
      <c r="P3" s="11">
        <f>Table1[[#This Row], [TIPI 2 Item 4]] + 8 - Table1[[#This Row], [TIPI 2 Item 9]]</f>
        <v>2</v>
      </c>
      <c r="Q3" s="14">
        <v>6</v>
      </c>
      <c r="R3" s="14">
        <v>1</v>
      </c>
      <c r="S3" s="14">
        <v>6</v>
      </c>
      <c r="T3" s="14">
        <v>1</v>
      </c>
      <c r="U3" s="14">
        <v>7</v>
      </c>
      <c r="V3" s="14">
        <v>2</v>
      </c>
      <c r="W3" s="14">
        <v>7</v>
      </c>
      <c r="X3" s="14">
        <v>1</v>
      </c>
      <c r="Y3" s="14">
        <v>7</v>
      </c>
      <c r="Z3" s="14">
        <v>5</v>
      </c>
      <c r="AA3" s="11">
        <v>7</v>
      </c>
      <c r="AB3" s="11">
        <v>1</v>
      </c>
      <c r="AC3" s="11">
        <v>6</v>
      </c>
      <c r="AD3" s="11">
        <v>1</v>
      </c>
      <c r="AE3" s="11">
        <v>7</v>
      </c>
      <c r="AF3" s="11">
        <v>2</v>
      </c>
      <c r="AG3" s="11">
        <v>6</v>
      </c>
      <c r="AH3" s="11">
        <v>1</v>
      </c>
      <c r="AI3" s="11">
        <v>7</v>
      </c>
      <c r="AJ3" s="11">
        <v>1</v>
      </c>
    </row>
    <row r="4" spans="1:36" ht="19.5" customHeight="1" x14ac:dyDescent="0.25">
      <c r="A4" s="10" t="s">
        <v>43</v>
      </c>
      <c r="B4" s="31"/>
      <c r="C4" s="12"/>
      <c r="D4" s="12" t="s">
        <v>37</v>
      </c>
      <c r="E4" s="12" t="s">
        <v>44</v>
      </c>
      <c r="F4" s="13" t="s">
        <v>45</v>
      </c>
      <c r="G4" s="11">
        <f>Table1[[#This Row], [TIPI 1 Item 5]] + 8 - Table1[[#This Row], [TIPI 1 Item 10]]</f>
        <v>10</v>
      </c>
      <c r="H4" s="11">
        <f>Table1[[#This Row], [TIPI 1 Item 3]] + 8 -Table1[[#This Row], [TIPI 1 Item 8]]</f>
        <v>12</v>
      </c>
      <c r="I4" s="11">
        <f>Table1[[#This Row], [TIPI 1 Item 1]] + 8 - Table1[[#This Row], [TIPI 1 Item 6]]</f>
        <v>8</v>
      </c>
      <c r="J4" s="11">
        <f>Table1[[#This Row], [TIPI 1 Item 7]] + 8 - Table1[[#This Row], [TIPI 1 Item 2]]</f>
        <v>12</v>
      </c>
      <c r="K4" s="11">
        <f>Table1[[#This Row], [TIPI 1 Item 4]] + 8 - Table1[[#This Row], [TIPI 1 Item 9]]</f>
        <v>8</v>
      </c>
      <c r="L4" s="11">
        <f>Table1[[#This Row], [TIPI 2 Item 5]] + 8 - Table1[[#This Row], [TIPI 2 Item 10]]</f>
        <v>11</v>
      </c>
      <c r="M4" s="11">
        <f>Table1[[#This Row], [TIPI 2 Item 3]] + 8 -Table1[[#This Row], [TIPI 2 Item 8]]</f>
        <v>13</v>
      </c>
      <c r="N4" s="11">
        <f>Table1[[#This Row], [TIPI 2 Item 1]] + 8 - Table1[[#This Row], [TIPI 2 Item 6]]</f>
        <v>11</v>
      </c>
      <c r="O4" s="11">
        <f>Table1[[#This Row], [TIPI 2 Item 7]] + 8 - Table1[[#This Row], [TIPI 2 Item 2]]</f>
        <v>14</v>
      </c>
      <c r="P4" s="11">
        <f>Table1[[#This Row], [TIPI 2 Item 4]] + 8 - Table1[[#This Row], [TIPI 2 Item 9]]</f>
        <v>4</v>
      </c>
      <c r="Q4" s="11">
        <v>4</v>
      </c>
      <c r="R4" s="11">
        <v>2</v>
      </c>
      <c r="S4" s="11">
        <v>6</v>
      </c>
      <c r="T4" s="11">
        <v>4</v>
      </c>
      <c r="U4" s="11">
        <v>7</v>
      </c>
      <c r="V4" s="11">
        <v>4</v>
      </c>
      <c r="W4" s="11">
        <v>6</v>
      </c>
      <c r="X4" s="11">
        <v>2</v>
      </c>
      <c r="Y4" s="11">
        <v>4</v>
      </c>
      <c r="Z4" s="11">
        <v>5</v>
      </c>
      <c r="AA4" s="15">
        <v>6</v>
      </c>
      <c r="AB4" s="15">
        <v>1</v>
      </c>
      <c r="AC4" s="15">
        <v>6</v>
      </c>
      <c r="AD4" s="15">
        <v>2</v>
      </c>
      <c r="AE4" s="15">
        <v>7</v>
      </c>
      <c r="AF4" s="15">
        <v>3</v>
      </c>
      <c r="AG4" s="15">
        <v>7</v>
      </c>
      <c r="AH4" s="15">
        <v>1</v>
      </c>
      <c r="AI4" s="15">
        <v>6</v>
      </c>
      <c r="AJ4" s="15">
        <v>4</v>
      </c>
    </row>
    <row r="5" spans="1:36" ht="19.5" customHeight="1" x14ac:dyDescent="0.25">
      <c r="A5" s="10" t="s">
        <v>46</v>
      </c>
      <c r="B5" s="31"/>
      <c r="C5" s="12"/>
      <c r="D5" s="12" t="s">
        <v>37</v>
      </c>
      <c r="E5" s="12" t="s">
        <v>47</v>
      </c>
      <c r="F5" s="13" t="s">
        <v>48</v>
      </c>
      <c r="G5" s="11">
        <f>Table1[[#This Row], [TIPI 1 Item 5]] + 8 - Table1[[#This Row], [TIPI 1 Item 10]]</f>
        <v>9</v>
      </c>
      <c r="H5" s="11">
        <f>Table1[[#This Row], [TIPI 1 Item 3]] + 8 -Table1[[#This Row], [TIPI 1 Item 8]]</f>
        <v>10</v>
      </c>
      <c r="I5" s="11">
        <f>Table1[[#This Row], [TIPI 1 Item 1]] + 8 - Table1[[#This Row], [TIPI 1 Item 6]]</f>
        <v>10</v>
      </c>
      <c r="J5" s="11">
        <f>Table1[[#This Row], [TIPI 1 Item 7]] + 8 - Table1[[#This Row], [TIPI 1 Item 2]]</f>
        <v>9</v>
      </c>
      <c r="K5" s="11">
        <f>Table1[[#This Row], [TIPI 1 Item 4]] + 8 - Table1[[#This Row], [TIPI 1 Item 9]]</f>
        <v>9</v>
      </c>
      <c r="L5" s="11">
        <f>Table1[[#This Row], [TIPI 2 Item 5]] + 8 - Table1[[#This Row], [TIPI 2 Item 10]]</f>
        <v>8</v>
      </c>
      <c r="M5" s="11">
        <f>Table1[[#This Row], [TIPI 2 Item 3]] + 8 -Table1[[#This Row], [TIPI 2 Item 8]]</f>
        <v>8</v>
      </c>
      <c r="N5" s="11">
        <f>Table1[[#This Row], [TIPI 2 Item 1]] + 8 - Table1[[#This Row], [TIPI 2 Item 6]]</f>
        <v>11</v>
      </c>
      <c r="O5" s="11">
        <f>Table1[[#This Row], [TIPI 2 Item 7]] + 8 - Table1[[#This Row], [TIPI 2 Item 2]]</f>
        <v>9</v>
      </c>
      <c r="P5" s="11">
        <f>Table1[[#This Row], [TIPI 2 Item 4]] + 8 - Table1[[#This Row], [TIPI 2 Item 9]]</f>
        <v>5</v>
      </c>
      <c r="Q5" s="11">
        <v>6</v>
      </c>
      <c r="R5" s="11">
        <v>4</v>
      </c>
      <c r="S5" s="11">
        <v>6</v>
      </c>
      <c r="T5" s="11">
        <v>5</v>
      </c>
      <c r="U5" s="11">
        <v>6</v>
      </c>
      <c r="V5" s="11">
        <v>4</v>
      </c>
      <c r="W5" s="11">
        <v>5</v>
      </c>
      <c r="X5" s="11">
        <v>4</v>
      </c>
      <c r="Y5" s="11">
        <v>4</v>
      </c>
      <c r="Z5" s="11">
        <v>5</v>
      </c>
      <c r="AA5" s="11">
        <v>6</v>
      </c>
      <c r="AB5" s="11">
        <v>5</v>
      </c>
      <c r="AC5" s="11">
        <v>5</v>
      </c>
      <c r="AD5" s="11">
        <v>3</v>
      </c>
      <c r="AE5" s="11">
        <v>6</v>
      </c>
      <c r="AF5" s="11">
        <v>3</v>
      </c>
      <c r="AG5" s="11">
        <v>6</v>
      </c>
      <c r="AH5" s="11">
        <v>5</v>
      </c>
      <c r="AI5" s="11">
        <v>6</v>
      </c>
      <c r="AJ5" s="11">
        <v>6</v>
      </c>
    </row>
    <row r="6" spans="1:36" ht="21.75" customHeight="1" x14ac:dyDescent="0.25">
      <c r="A6" s="10" t="s">
        <v>49</v>
      </c>
      <c r="B6" s="31"/>
      <c r="C6" s="12"/>
      <c r="D6" s="12" t="s">
        <v>37</v>
      </c>
      <c r="E6" s="12" t="s">
        <v>50</v>
      </c>
      <c r="F6" s="13" t="s">
        <v>51</v>
      </c>
      <c r="G6" s="11">
        <f>Table1[[#This Row], [TIPI 1 Item 5]] + 8 - Table1[[#This Row], [TIPI 1 Item 10]]</f>
        <v>10</v>
      </c>
      <c r="H6" s="11">
        <f>Table1[[#This Row], [TIPI 1 Item 3]] + 8 -Table1[[#This Row], [TIPI 1 Item 8]]</f>
        <v>7</v>
      </c>
      <c r="I6" s="11">
        <f>Table1[[#This Row], [TIPI 1 Item 1]] + 8 - Table1[[#This Row], [TIPI 1 Item 6]]</f>
        <v>9</v>
      </c>
      <c r="J6" s="11">
        <f>Table1[[#This Row], [TIPI 1 Item 7]] + 8 - Table1[[#This Row], [TIPI 1 Item 2]]</f>
        <v>11</v>
      </c>
      <c r="K6" s="11">
        <f>Table1[[#This Row], [TIPI 1 Item 4]] + 8 - Table1[[#This Row], [TIPI 1 Item 9]]</f>
        <v>9</v>
      </c>
      <c r="L6" s="11">
        <f>Table1[[#This Row], [TIPI 2 Item 5]] + 8 - Table1[[#This Row], [TIPI 2 Item 10]]</f>
        <v>12</v>
      </c>
      <c r="M6" s="11">
        <f>Table1[[#This Row], [TIPI 2 Item 3]] + 8 -Table1[[#This Row], [TIPI 2 Item 8]]</f>
        <v>8</v>
      </c>
      <c r="N6" s="11">
        <f>Table1[[#This Row], [TIPI 2 Item 1]] + 8 - Table1[[#This Row], [TIPI 2 Item 6]]</f>
        <v>10</v>
      </c>
      <c r="O6" s="11">
        <f>Table1[[#This Row], [TIPI 2 Item 7]] + 8 - Table1[[#This Row], [TIPI 2 Item 2]]</f>
        <v>10</v>
      </c>
      <c r="P6" s="11">
        <f>Table1[[#This Row], [TIPI 2 Item 4]] + 8 - Table1[[#This Row], [TIPI 2 Item 9]]</f>
        <v>5</v>
      </c>
      <c r="Q6" s="11">
        <v>5</v>
      </c>
      <c r="R6" s="11">
        <v>2</v>
      </c>
      <c r="S6" s="11">
        <v>3</v>
      </c>
      <c r="T6" s="11">
        <v>5</v>
      </c>
      <c r="U6" s="11">
        <v>5</v>
      </c>
      <c r="V6" s="11">
        <v>4</v>
      </c>
      <c r="W6" s="11">
        <v>5</v>
      </c>
      <c r="X6" s="11">
        <v>4</v>
      </c>
      <c r="Y6" s="11">
        <v>4</v>
      </c>
      <c r="Z6" s="11">
        <v>3</v>
      </c>
      <c r="AA6" s="15">
        <v>5</v>
      </c>
      <c r="AB6" s="15">
        <v>3</v>
      </c>
      <c r="AC6" s="15">
        <v>3</v>
      </c>
      <c r="AD6" s="15">
        <v>2</v>
      </c>
      <c r="AE6" s="15">
        <v>6</v>
      </c>
      <c r="AF6" s="15">
        <v>3</v>
      </c>
      <c r="AG6" s="15">
        <v>5</v>
      </c>
      <c r="AH6" s="15">
        <v>3</v>
      </c>
      <c r="AI6" s="15">
        <v>5</v>
      </c>
      <c r="AJ6" s="15">
        <v>2</v>
      </c>
    </row>
    <row r="7" spans="1:36" ht="19.5" customHeight="1" x14ac:dyDescent="0.25">
      <c r="A7" s="10" t="s">
        <v>52</v>
      </c>
      <c r="B7" s="32"/>
      <c r="C7" s="16"/>
      <c r="D7" s="12" t="s">
        <v>37</v>
      </c>
      <c r="E7" s="16" t="s">
        <v>53</v>
      </c>
      <c r="F7" s="13" t="s">
        <v>54</v>
      </c>
      <c r="G7" s="11">
        <f>Table1[[#This Row], [TIPI 1 Item 5]] + 8 - Table1[[#This Row], [TIPI 1 Item 10]]</f>
        <v>10</v>
      </c>
      <c r="H7" s="11">
        <f>Table1[[#This Row], [TIPI 1 Item 3]] + 8 -Table1[[#This Row], [TIPI 1 Item 8]]</f>
        <v>12</v>
      </c>
      <c r="I7" s="11">
        <f>Table1[[#This Row], [TIPI 1 Item 1]] + 8 - Table1[[#This Row], [TIPI 1 Item 6]]</f>
        <v>4</v>
      </c>
      <c r="J7" s="11">
        <f>Table1[[#This Row], [TIPI 1 Item 7]] + 8 - Table1[[#This Row], [TIPI 1 Item 2]]</f>
        <v>6</v>
      </c>
      <c r="K7" s="11">
        <f>Table1[[#This Row], [TIPI 1 Item 4]] + 8 - Table1[[#This Row], [TIPI 1 Item 9]]</f>
        <v>10</v>
      </c>
      <c r="L7" s="11">
        <f>Table1[[#This Row], [TIPI 2 Item 5]] + 8 - Table1[[#This Row], [TIPI 2 Item 10]]</f>
        <v>8</v>
      </c>
      <c r="M7" s="11">
        <f>Table1[[#This Row], [TIPI 2 Item 3]] + 8 -Table1[[#This Row], [TIPI 2 Item 8]]</f>
        <v>10</v>
      </c>
      <c r="N7" s="11">
        <f>Table1[[#This Row], [TIPI 2 Item 1]] + 8 - Table1[[#This Row], [TIPI 2 Item 6]]</f>
        <v>4</v>
      </c>
      <c r="O7" s="11">
        <f>Table1[[#This Row], [TIPI 2 Item 7]] + 8 - Table1[[#This Row], [TIPI 2 Item 2]]</f>
        <v>5</v>
      </c>
      <c r="P7" s="11">
        <f>Table1[[#This Row], [TIPI 2 Item 4]] + 8 - Table1[[#This Row], [TIPI 2 Item 9]]</f>
        <v>10</v>
      </c>
      <c r="Q7" s="11">
        <v>2</v>
      </c>
      <c r="R7" s="11">
        <v>5</v>
      </c>
      <c r="S7" s="11">
        <v>6</v>
      </c>
      <c r="T7" s="11">
        <v>6</v>
      </c>
      <c r="U7" s="11">
        <v>7</v>
      </c>
      <c r="V7" s="11">
        <v>6</v>
      </c>
      <c r="W7" s="11">
        <v>3</v>
      </c>
      <c r="X7" s="11">
        <v>2</v>
      </c>
      <c r="Y7" s="11">
        <v>4</v>
      </c>
      <c r="Z7" s="11">
        <v>5</v>
      </c>
      <c r="AA7" s="11">
        <v>2</v>
      </c>
      <c r="AB7" s="11">
        <v>6</v>
      </c>
      <c r="AC7" s="11">
        <v>6</v>
      </c>
      <c r="AD7" s="11">
        <v>5</v>
      </c>
      <c r="AE7" s="11">
        <v>7</v>
      </c>
      <c r="AF7" s="11">
        <v>6</v>
      </c>
      <c r="AG7" s="11">
        <v>3</v>
      </c>
      <c r="AH7" s="11">
        <v>4</v>
      </c>
      <c r="AI7" s="11">
        <v>3</v>
      </c>
      <c r="AJ7" s="11">
        <v>7</v>
      </c>
    </row>
    <row r="8" spans="1:36" ht="19.5" customHeight="1" x14ac:dyDescent="0.25">
      <c r="A8" s="10" t="s">
        <v>55</v>
      </c>
      <c r="B8" s="31"/>
      <c r="C8" s="17"/>
      <c r="D8" s="12" t="s">
        <v>37</v>
      </c>
      <c r="E8" s="17" t="s">
        <v>47</v>
      </c>
      <c r="F8" s="13" t="s">
        <v>56</v>
      </c>
      <c r="G8" s="11">
        <f>Table1[[#This Row], [TIPI 1 Item 5]] + 8 - Table1[[#This Row], [TIPI 1 Item 10]]</f>
        <v>9</v>
      </c>
      <c r="H8" s="11">
        <f>Table1[[#This Row], [TIPI 1 Item 3]] + 8 -Table1[[#This Row], [TIPI 1 Item 8]]</f>
        <v>9</v>
      </c>
      <c r="I8" s="11">
        <f>Table1[[#This Row], [TIPI 1 Item 1]] + 8 - Table1[[#This Row], [TIPI 1 Item 6]]</f>
        <v>11</v>
      </c>
      <c r="J8" s="11">
        <f>Table1[[#This Row], [TIPI 1 Item 7]] + 8 - Table1[[#This Row], [TIPI 1 Item 2]]</f>
        <v>14</v>
      </c>
      <c r="K8" s="11">
        <f>Table1[[#This Row], [TIPI 1 Item 4]] + 8 - Table1[[#This Row], [TIPI 1 Item 9]]</f>
        <v>2</v>
      </c>
      <c r="L8" s="11">
        <f>Table1[[#This Row], [TIPI 2 Item 5]] + 8 - Table1[[#This Row], [TIPI 2 Item 10]]</f>
        <v>8</v>
      </c>
      <c r="M8" s="11">
        <f>Table1[[#This Row], [TIPI 2 Item 3]] + 8 -Table1[[#This Row], [TIPI 2 Item 8]]</f>
        <v>7</v>
      </c>
      <c r="N8" s="11">
        <f>Table1[[#This Row], [TIPI 2 Item 1]] + 8 - Table1[[#This Row], [TIPI 2 Item 6]]</f>
        <v>12</v>
      </c>
      <c r="O8" s="11">
        <f>Table1[[#This Row], [TIPI 2 Item 7]] + 8 - Table1[[#This Row], [TIPI 2 Item 2]]</f>
        <v>12</v>
      </c>
      <c r="P8" s="11">
        <f>Table1[[#This Row], [TIPI 2 Item 4]] + 8 - Table1[[#This Row], [TIPI 2 Item 9]]</f>
        <v>2</v>
      </c>
      <c r="Q8" s="11">
        <v>6</v>
      </c>
      <c r="R8" s="11">
        <v>1</v>
      </c>
      <c r="S8" s="11">
        <v>6</v>
      </c>
      <c r="T8" s="11">
        <v>1</v>
      </c>
      <c r="U8" s="11">
        <v>6</v>
      </c>
      <c r="V8" s="11">
        <v>3</v>
      </c>
      <c r="W8" s="11">
        <v>7</v>
      </c>
      <c r="X8" s="11">
        <v>5</v>
      </c>
      <c r="Y8" s="11">
        <v>7</v>
      </c>
      <c r="Z8" s="11">
        <v>5</v>
      </c>
      <c r="AA8" s="15">
        <v>6</v>
      </c>
      <c r="AB8" s="15">
        <v>3</v>
      </c>
      <c r="AC8" s="15">
        <v>5</v>
      </c>
      <c r="AD8" s="15">
        <v>1</v>
      </c>
      <c r="AE8" s="15">
        <v>6</v>
      </c>
      <c r="AF8" s="15">
        <v>2</v>
      </c>
      <c r="AG8" s="15">
        <v>7</v>
      </c>
      <c r="AH8" s="15">
        <v>6</v>
      </c>
      <c r="AI8" s="15">
        <v>7</v>
      </c>
      <c r="AJ8" s="15">
        <v>6</v>
      </c>
    </row>
    <row r="9" spans="1:36" ht="19.5" customHeight="1" x14ac:dyDescent="0.25">
      <c r="A9" s="10" t="s">
        <v>57</v>
      </c>
      <c r="B9" s="31"/>
      <c r="C9" s="17"/>
      <c r="D9" s="12" t="s">
        <v>37</v>
      </c>
      <c r="E9" s="17" t="s">
        <v>58</v>
      </c>
      <c r="F9" s="13" t="s">
        <v>59</v>
      </c>
      <c r="G9" s="11">
        <f>Table1[[#This Row], [TIPI 1 Item 5]] + 8 - Table1[[#This Row], [TIPI 1 Item 10]]</f>
        <v>11</v>
      </c>
      <c r="H9" s="11">
        <f>Table1[[#This Row], [TIPI 1 Item 3]] + 8 -Table1[[#This Row], [TIPI 1 Item 8]]</f>
        <v>13</v>
      </c>
      <c r="I9" s="11">
        <f>Table1[[#This Row], [TIPI 1 Item 1]] + 8 - Table1[[#This Row], [TIPI 1 Item 6]]</f>
        <v>8</v>
      </c>
      <c r="J9" s="11">
        <f>Table1[[#This Row], [TIPI 1 Item 7]] + 8 - Table1[[#This Row], [TIPI 1 Item 2]]</f>
        <v>12</v>
      </c>
      <c r="K9" s="11">
        <f>Table1[[#This Row], [TIPI 1 Item 4]] + 8 - Table1[[#This Row], [TIPI 1 Item 9]]</f>
        <v>5</v>
      </c>
      <c r="L9" s="11">
        <f>Table1[[#This Row], [TIPI 2 Item 5]] + 8 - Table1[[#This Row], [TIPI 2 Item 10]]</f>
        <v>12</v>
      </c>
      <c r="M9" s="11">
        <f>Table1[[#This Row], [TIPI 2 Item 3]] + 8 -Table1[[#This Row], [TIPI 2 Item 8]]</f>
        <v>13</v>
      </c>
      <c r="N9" s="11">
        <f>Table1[[#This Row], [TIPI 2 Item 1]] + 8 - Table1[[#This Row], [TIPI 2 Item 6]]</f>
        <v>8</v>
      </c>
      <c r="O9" s="11">
        <f>Table1[[#This Row], [TIPI 2 Item 7]] + 8 - Table1[[#This Row], [TIPI 2 Item 2]]</f>
        <v>12</v>
      </c>
      <c r="P9" s="11">
        <f>Table1[[#This Row], [TIPI 2 Item 4]] + 8 - Table1[[#This Row], [TIPI 2 Item 9]]</f>
        <v>6</v>
      </c>
      <c r="Q9" s="11">
        <v>6</v>
      </c>
      <c r="R9" s="11">
        <v>2</v>
      </c>
      <c r="S9" s="11">
        <v>7</v>
      </c>
      <c r="T9" s="11">
        <v>4</v>
      </c>
      <c r="U9" s="11">
        <v>7</v>
      </c>
      <c r="V9" s="11">
        <v>6</v>
      </c>
      <c r="W9" s="11">
        <v>6</v>
      </c>
      <c r="X9" s="11">
        <v>2</v>
      </c>
      <c r="Y9" s="11">
        <v>7</v>
      </c>
      <c r="Z9" s="11">
        <v>4</v>
      </c>
      <c r="AA9" s="11">
        <v>5</v>
      </c>
      <c r="AB9" s="11">
        <v>1</v>
      </c>
      <c r="AC9" s="11">
        <v>6</v>
      </c>
      <c r="AD9" s="11">
        <v>5</v>
      </c>
      <c r="AE9" s="11">
        <v>6</v>
      </c>
      <c r="AF9" s="11">
        <v>5</v>
      </c>
      <c r="AG9" s="11">
        <v>5</v>
      </c>
      <c r="AH9" s="11">
        <v>1</v>
      </c>
      <c r="AI9" s="11">
        <v>7</v>
      </c>
      <c r="AJ9" s="11">
        <v>2</v>
      </c>
    </row>
    <row r="10" spans="1:36" ht="19.5" customHeight="1" x14ac:dyDescent="0.25">
      <c r="A10" s="10" t="s">
        <v>60</v>
      </c>
      <c r="B10" s="31"/>
      <c r="C10" s="17"/>
      <c r="D10" s="12" t="s">
        <v>37</v>
      </c>
      <c r="E10" s="17" t="s">
        <v>61</v>
      </c>
      <c r="F10" s="13" t="s">
        <v>62</v>
      </c>
      <c r="G10" s="11">
        <f>Table1[[#This Row], [TIPI 1 Item 5]] + 8 - Table1[[#This Row], [TIPI 1 Item 10]]</f>
        <v>10</v>
      </c>
      <c r="H10" s="11">
        <f>Table1[[#This Row], [TIPI 1 Item 3]] + 8 -Table1[[#This Row], [TIPI 1 Item 8]]</f>
        <v>11</v>
      </c>
      <c r="I10" s="11">
        <f>Table1[[#This Row], [TIPI 1 Item 1]] + 8 - Table1[[#This Row], [TIPI 1 Item 6]]</f>
        <v>12</v>
      </c>
      <c r="J10" s="11">
        <f>Table1[[#This Row], [TIPI 1 Item 7]] + 8 - Table1[[#This Row], [TIPI 1 Item 2]]</f>
        <v>11</v>
      </c>
      <c r="K10" s="11">
        <f>Table1[[#This Row], [TIPI 1 Item 4]] + 8 - Table1[[#This Row], [TIPI 1 Item 9]]</f>
        <v>6</v>
      </c>
      <c r="L10" s="11">
        <f>Table1[[#This Row], [TIPI 2 Item 5]] + 8 - Table1[[#This Row], [TIPI 2 Item 10]]</f>
        <v>10</v>
      </c>
      <c r="M10" s="11">
        <f>Table1[[#This Row], [TIPI 2 Item 3]] + 8 -Table1[[#This Row], [TIPI 2 Item 8]]</f>
        <v>10</v>
      </c>
      <c r="N10" s="11">
        <f>Table1[[#This Row], [TIPI 2 Item 1]] + 8 - Table1[[#This Row], [TIPI 2 Item 6]]</f>
        <v>12</v>
      </c>
      <c r="O10" s="11">
        <f>Table1[[#This Row], [TIPI 2 Item 7]] + 8 - Table1[[#This Row], [TIPI 2 Item 2]]</f>
        <v>10</v>
      </c>
      <c r="P10" s="11">
        <f>Table1[[#This Row], [TIPI 2 Item 4]] + 8 - Table1[[#This Row], [TIPI 2 Item 9]]</f>
        <v>5</v>
      </c>
      <c r="Q10" s="11">
        <v>6</v>
      </c>
      <c r="R10" s="11">
        <v>4</v>
      </c>
      <c r="S10" s="11">
        <v>6</v>
      </c>
      <c r="T10" s="11">
        <v>2</v>
      </c>
      <c r="U10" s="11">
        <v>6</v>
      </c>
      <c r="V10" s="11">
        <v>2</v>
      </c>
      <c r="W10" s="11">
        <v>7</v>
      </c>
      <c r="X10" s="11">
        <v>3</v>
      </c>
      <c r="Y10" s="11">
        <v>4</v>
      </c>
      <c r="Z10" s="11">
        <v>4</v>
      </c>
      <c r="AA10" s="11">
        <v>6</v>
      </c>
      <c r="AB10" s="11">
        <v>5</v>
      </c>
      <c r="AC10" s="11">
        <v>6</v>
      </c>
      <c r="AD10" s="11">
        <v>1</v>
      </c>
      <c r="AE10" s="11">
        <v>5</v>
      </c>
      <c r="AF10" s="11">
        <v>2</v>
      </c>
      <c r="AG10" s="11">
        <v>7</v>
      </c>
      <c r="AH10" s="11">
        <v>4</v>
      </c>
      <c r="AI10" s="11">
        <v>4</v>
      </c>
      <c r="AJ10" s="11">
        <v>3</v>
      </c>
    </row>
    <row r="11" spans="1:36" ht="19.5" customHeight="1" x14ac:dyDescent="0.25">
      <c r="A11" s="10" t="s">
        <v>63</v>
      </c>
      <c r="B11" s="31"/>
      <c r="C11" s="17"/>
      <c r="D11" s="12" t="s">
        <v>37</v>
      </c>
      <c r="E11" s="17" t="s">
        <v>53</v>
      </c>
      <c r="F11" s="13" t="s">
        <v>64</v>
      </c>
      <c r="G11" s="11">
        <f>Table1[[#This Row], [TIPI 1 Item 5]] + 8 - Table1[[#This Row], [TIPI 1 Item 10]]</f>
        <v>14</v>
      </c>
      <c r="H11" s="11">
        <f>Table1[[#This Row], [TIPI 1 Item 3]] + 8 -Table1[[#This Row], [TIPI 1 Item 8]]</f>
        <v>12</v>
      </c>
      <c r="I11" s="11">
        <f>Table1[[#This Row], [TIPI 1 Item 1]] + 8 - Table1[[#This Row], [TIPI 1 Item 6]]</f>
        <v>9</v>
      </c>
      <c r="J11" s="11">
        <f>Table1[[#This Row], [TIPI 1 Item 7]] + 8 - Table1[[#This Row], [TIPI 1 Item 2]]</f>
        <v>8</v>
      </c>
      <c r="K11" s="11">
        <f>Table1[[#This Row], [TIPI 1 Item 4]] + 8 - Table1[[#This Row], [TIPI 1 Item 9]]</f>
        <v>4</v>
      </c>
      <c r="L11" s="11">
        <f>Table1[[#This Row], [TIPI 2 Item 5]] + 8 - Table1[[#This Row], [TIPI 2 Item 10]]</f>
        <v>14</v>
      </c>
      <c r="M11" s="11">
        <f>Table1[[#This Row], [TIPI 2 Item 3]] + 8 -Table1[[#This Row], [TIPI 2 Item 8]]</f>
        <v>13</v>
      </c>
      <c r="N11" s="11">
        <f>Table1[[#This Row], [TIPI 2 Item 1]] + 8 - Table1[[#This Row], [TIPI 2 Item 6]]</f>
        <v>9</v>
      </c>
      <c r="O11" s="11">
        <f>Table1[[#This Row], [TIPI 2 Item 7]] + 8 - Table1[[#This Row], [TIPI 2 Item 2]]</f>
        <v>8</v>
      </c>
      <c r="P11" s="11">
        <f>Table1[[#This Row], [TIPI 2 Item 4]] + 8 - Table1[[#This Row], [TIPI 2 Item 9]]</f>
        <v>5</v>
      </c>
      <c r="Q11" s="11">
        <v>6</v>
      </c>
      <c r="R11" s="11">
        <v>6</v>
      </c>
      <c r="S11" s="11">
        <v>6</v>
      </c>
      <c r="T11" s="11">
        <v>2</v>
      </c>
      <c r="U11" s="11">
        <v>7</v>
      </c>
      <c r="V11" s="11">
        <v>5</v>
      </c>
      <c r="W11" s="11">
        <v>6</v>
      </c>
      <c r="X11" s="11">
        <v>2</v>
      </c>
      <c r="Y11" s="11">
        <v>6</v>
      </c>
      <c r="Z11" s="11">
        <v>1</v>
      </c>
      <c r="AA11" s="11">
        <v>6</v>
      </c>
      <c r="AB11" s="11">
        <v>6</v>
      </c>
      <c r="AC11" s="11">
        <v>6</v>
      </c>
      <c r="AD11" s="11">
        <v>2</v>
      </c>
      <c r="AE11" s="11">
        <v>7</v>
      </c>
      <c r="AF11" s="11">
        <v>5</v>
      </c>
      <c r="AG11" s="11">
        <v>6</v>
      </c>
      <c r="AH11" s="11">
        <v>1</v>
      </c>
      <c r="AI11" s="11">
        <v>5</v>
      </c>
      <c r="AJ11" s="11">
        <v>1</v>
      </c>
    </row>
    <row r="12" spans="1:36" ht="19.5" customHeight="1" x14ac:dyDescent="0.25">
      <c r="A12" s="10" t="s">
        <v>65</v>
      </c>
      <c r="B12" s="31"/>
      <c r="C12" s="18"/>
      <c r="D12" s="12" t="s">
        <v>37</v>
      </c>
      <c r="E12" s="18" t="s">
        <v>53</v>
      </c>
      <c r="F12" s="13" t="s">
        <v>66</v>
      </c>
      <c r="G12" s="11">
        <f>Table1[[#This Row], [TIPI 1 Item 5]] + 8 - Table1[[#This Row], [TIPI 1 Item 10]]</f>
        <v>11</v>
      </c>
      <c r="H12" s="11">
        <f>Table1[[#This Row], [TIPI 1 Item 3]] + 8 -Table1[[#This Row], [TIPI 1 Item 8]]</f>
        <v>11</v>
      </c>
      <c r="I12" s="11">
        <f>Table1[[#This Row], [TIPI 1 Item 1]] + 8 - Table1[[#This Row], [TIPI 1 Item 6]]</f>
        <v>5</v>
      </c>
      <c r="J12" s="11">
        <f>Table1[[#This Row], [TIPI 1 Item 7]] + 8 - Table1[[#This Row], [TIPI 1 Item 2]]</f>
        <v>11</v>
      </c>
      <c r="K12" s="11">
        <f>Table1[[#This Row], [TIPI 1 Item 4]] + 8 - Table1[[#This Row], [TIPI 1 Item 9]]</f>
        <v>5</v>
      </c>
      <c r="L12" s="11">
        <f>Table1[[#This Row], [TIPI 2 Item 5]] + 8 - Table1[[#This Row], [TIPI 2 Item 10]]</f>
        <v>11</v>
      </c>
      <c r="M12" s="11">
        <f>Table1[[#This Row], [TIPI 2 Item 3]] + 8 -Table1[[#This Row], [TIPI 2 Item 8]]</f>
        <v>11</v>
      </c>
      <c r="N12" s="11">
        <f>Table1[[#This Row], [TIPI 2 Item 1]] + 8 - Table1[[#This Row], [TIPI 2 Item 6]]</f>
        <v>4</v>
      </c>
      <c r="O12" s="11">
        <f>Table1[[#This Row], [TIPI 2 Item 7]] + 8 - Table1[[#This Row], [TIPI 2 Item 2]]</f>
        <v>11</v>
      </c>
      <c r="P12" s="11">
        <f>Table1[[#This Row], [TIPI 2 Item 4]] + 8 - Table1[[#This Row], [TIPI 2 Item 9]]</f>
        <v>6</v>
      </c>
      <c r="Q12" s="11">
        <v>2</v>
      </c>
      <c r="R12" s="11">
        <v>2</v>
      </c>
      <c r="S12" s="11">
        <v>5</v>
      </c>
      <c r="T12" s="11">
        <v>3</v>
      </c>
      <c r="U12" s="11">
        <v>6</v>
      </c>
      <c r="V12" s="11">
        <v>5</v>
      </c>
      <c r="W12" s="11">
        <v>5</v>
      </c>
      <c r="X12" s="11">
        <v>2</v>
      </c>
      <c r="Y12" s="11">
        <v>6</v>
      </c>
      <c r="Z12" s="11">
        <v>3</v>
      </c>
      <c r="AA12" s="11">
        <v>2</v>
      </c>
      <c r="AB12" s="11">
        <v>2</v>
      </c>
      <c r="AC12" s="11">
        <v>5</v>
      </c>
      <c r="AD12" s="11">
        <v>4</v>
      </c>
      <c r="AE12" s="11">
        <v>5</v>
      </c>
      <c r="AF12" s="11">
        <v>6</v>
      </c>
      <c r="AG12" s="11">
        <v>5</v>
      </c>
      <c r="AH12" s="11">
        <v>2</v>
      </c>
      <c r="AI12" s="11">
        <v>6</v>
      </c>
      <c r="AJ12" s="11">
        <v>2</v>
      </c>
    </row>
    <row r="13" spans="1:36" ht="19.5" customHeight="1" x14ac:dyDescent="0.25">
      <c r="A13" s="10" t="s">
        <v>67</v>
      </c>
      <c r="B13" s="31"/>
      <c r="C13" s="12"/>
      <c r="D13" s="12" t="s">
        <v>68</v>
      </c>
      <c r="E13" s="12" t="s">
        <v>69</v>
      </c>
      <c r="F13" s="13" t="s">
        <v>70</v>
      </c>
      <c r="G13" s="11">
        <f>Table1[[#This Row], [TIPI 1 Item 5]] + 8 - Table1[[#This Row], [TIPI 1 Item 10]]</f>
        <v>12</v>
      </c>
      <c r="H13" s="11">
        <f>Table1[[#This Row], [TIPI 1 Item 3]] + 8 -Table1[[#This Row], [TIPI 1 Item 8]]</f>
        <v>12</v>
      </c>
      <c r="I13" s="11">
        <f>Table1[[#This Row], [TIPI 1 Item 1]] + 8 - Table1[[#This Row], [TIPI 1 Item 6]]</f>
        <v>9</v>
      </c>
      <c r="J13" s="11">
        <f>Table1[[#This Row], [TIPI 1 Item 7]] + 8 - Table1[[#This Row], [TIPI 1 Item 2]]</f>
        <v>9</v>
      </c>
      <c r="K13" s="11">
        <f>Table1[[#This Row], [TIPI 1 Item 4]] + 8 - Table1[[#This Row], [TIPI 1 Item 9]]</f>
        <v>6</v>
      </c>
      <c r="L13" s="11">
        <f>Table1[[#This Row], [TIPI 2 Item 5]] + 8 - Table1[[#This Row], [TIPI 2 Item 10]]</f>
        <v>11</v>
      </c>
      <c r="M13" s="11">
        <f>Table1[[#This Row], [TIPI 2 Item 3]] + 8 -Table1[[#This Row], [TIPI 2 Item 8]]</f>
        <v>12</v>
      </c>
      <c r="N13" s="11">
        <f>Table1[[#This Row], [TIPI 2 Item 1]] + 8 - Table1[[#This Row], [TIPI 2 Item 6]]</f>
        <v>9</v>
      </c>
      <c r="O13" s="11">
        <f>Table1[[#This Row], [TIPI 2 Item 7]] + 8 - Table1[[#This Row], [TIPI 2 Item 2]]</f>
        <v>9</v>
      </c>
      <c r="P13" s="11">
        <f>Table1[[#This Row], [TIPI 2 Item 4]] + 8 - Table1[[#This Row], [TIPI 2 Item 9]]</f>
        <v>7</v>
      </c>
      <c r="Q13" s="11">
        <v>5</v>
      </c>
      <c r="R13" s="11">
        <v>5</v>
      </c>
      <c r="S13" s="11">
        <v>6</v>
      </c>
      <c r="T13" s="11">
        <v>3</v>
      </c>
      <c r="U13" s="11">
        <v>6</v>
      </c>
      <c r="V13" s="11">
        <v>4</v>
      </c>
      <c r="W13" s="11">
        <v>6</v>
      </c>
      <c r="X13" s="11">
        <v>2</v>
      </c>
      <c r="Y13" s="11">
        <v>5</v>
      </c>
      <c r="Z13" s="11">
        <v>2</v>
      </c>
      <c r="AA13" s="11">
        <v>5</v>
      </c>
      <c r="AB13" s="11">
        <v>5</v>
      </c>
      <c r="AC13" s="11">
        <v>6</v>
      </c>
      <c r="AD13" s="11">
        <v>3</v>
      </c>
      <c r="AE13" s="11">
        <v>5</v>
      </c>
      <c r="AF13" s="11">
        <v>4</v>
      </c>
      <c r="AG13" s="11">
        <v>6</v>
      </c>
      <c r="AH13" s="11">
        <v>2</v>
      </c>
      <c r="AI13" s="11">
        <v>4</v>
      </c>
      <c r="AJ13" s="11">
        <v>2</v>
      </c>
    </row>
    <row r="14" spans="1:36" ht="19.5" customHeight="1" x14ac:dyDescent="0.25">
      <c r="A14" s="10" t="s">
        <v>71</v>
      </c>
      <c r="B14" s="31"/>
      <c r="C14" s="12"/>
      <c r="D14" s="12" t="s">
        <v>68</v>
      </c>
      <c r="E14" s="12" t="s">
        <v>72</v>
      </c>
      <c r="F14" s="13" t="s">
        <v>73</v>
      </c>
      <c r="G14" s="11">
        <f>Table1[[#This Row], [TIPI 1 Item 5]] + 8 - Table1[[#This Row], [TIPI 1 Item 10]]</f>
        <v>12</v>
      </c>
      <c r="H14" s="11">
        <f>Table1[[#This Row], [TIPI 1 Item 3]] + 8 -Table1[[#This Row], [TIPI 1 Item 8]]</f>
        <v>13</v>
      </c>
      <c r="I14" s="11">
        <f>Table1[[#This Row], [TIPI 1 Item 1]] + 8 - Table1[[#This Row], [TIPI 1 Item 6]]</f>
        <v>11</v>
      </c>
      <c r="J14" s="11">
        <f>Table1[[#This Row], [TIPI 1 Item 7]] + 8 - Table1[[#This Row], [TIPI 1 Item 2]]</f>
        <v>12</v>
      </c>
      <c r="K14" s="11">
        <f>Table1[[#This Row], [TIPI 1 Item 4]] + 8 - Table1[[#This Row], [TIPI 1 Item 9]]</f>
        <v>5</v>
      </c>
      <c r="L14" s="11">
        <f>Table1[[#This Row], [TIPI 2 Item 5]] + 8 - Table1[[#This Row], [TIPI 2 Item 10]]</f>
        <v>12</v>
      </c>
      <c r="M14" s="11">
        <f>Table1[[#This Row], [TIPI 2 Item 3]] + 8 -Table1[[#This Row], [TIPI 2 Item 8]]</f>
        <v>12</v>
      </c>
      <c r="N14" s="11">
        <f>Table1[[#This Row], [TIPI 2 Item 1]] + 8 - Table1[[#This Row], [TIPI 2 Item 6]]</f>
        <v>8</v>
      </c>
      <c r="O14" s="11">
        <f>Table1[[#This Row], [TIPI 2 Item 7]] + 8 - Table1[[#This Row], [TIPI 2 Item 2]]</f>
        <v>13</v>
      </c>
      <c r="P14" s="11">
        <f>Table1[[#This Row], [TIPI 2 Item 4]] + 8 - Table1[[#This Row], [TIPI 2 Item 9]]</f>
        <v>7</v>
      </c>
      <c r="Q14" s="11">
        <v>6</v>
      </c>
      <c r="R14" s="11">
        <v>2</v>
      </c>
      <c r="S14" s="11">
        <v>6</v>
      </c>
      <c r="T14" s="11">
        <v>2</v>
      </c>
      <c r="U14" s="11">
        <v>6</v>
      </c>
      <c r="V14" s="11">
        <v>3</v>
      </c>
      <c r="W14" s="11">
        <v>6</v>
      </c>
      <c r="X14" s="11">
        <v>1</v>
      </c>
      <c r="Y14" s="11">
        <v>5</v>
      </c>
      <c r="Z14" s="11">
        <v>2</v>
      </c>
      <c r="AA14" s="11">
        <v>4</v>
      </c>
      <c r="AB14" s="11">
        <v>2</v>
      </c>
      <c r="AC14" s="11">
        <v>6</v>
      </c>
      <c r="AD14" s="11">
        <v>3</v>
      </c>
      <c r="AE14" s="11">
        <v>6</v>
      </c>
      <c r="AF14" s="11">
        <v>4</v>
      </c>
      <c r="AG14" s="11">
        <v>7</v>
      </c>
      <c r="AH14" s="11">
        <v>2</v>
      </c>
      <c r="AI14" s="11">
        <v>4</v>
      </c>
      <c r="AJ14" s="11">
        <v>2</v>
      </c>
    </row>
    <row r="15" spans="1:36" ht="19.5" customHeight="1" x14ac:dyDescent="0.25">
      <c r="A15" s="10" t="s">
        <v>74</v>
      </c>
      <c r="B15" s="31"/>
      <c r="C15" s="12"/>
      <c r="D15" s="12" t="s">
        <v>37</v>
      </c>
      <c r="E15" s="12" t="s">
        <v>53</v>
      </c>
      <c r="F15" s="13" t="s">
        <v>75</v>
      </c>
      <c r="G15" s="11">
        <f>Table1[[#This Row], [TIPI 1 Item 5]] + 8 - Table1[[#This Row], [TIPI 1 Item 10]]</f>
        <v>10</v>
      </c>
      <c r="H15" s="11">
        <f>Table1[[#This Row], [TIPI 1 Item 3]] + 8 -Table1[[#This Row], [TIPI 1 Item 8]]</f>
        <v>9</v>
      </c>
      <c r="I15" s="11">
        <f>Table1[[#This Row], [TIPI 1 Item 1]] + 8 - Table1[[#This Row], [TIPI 1 Item 6]]</f>
        <v>7</v>
      </c>
      <c r="J15" s="11">
        <f>Table1[[#This Row], [TIPI 1 Item 7]] + 8 - Table1[[#This Row], [TIPI 1 Item 2]]</f>
        <v>12</v>
      </c>
      <c r="K15" s="11">
        <f>Table1[[#This Row], [TIPI 1 Item 4]] + 8 - Table1[[#This Row], [TIPI 1 Item 9]]</f>
        <v>7</v>
      </c>
      <c r="L15" s="11">
        <f>Table1[[#This Row], [TIPI 2 Item 5]] + 8 - Table1[[#This Row], [TIPI 2 Item 10]]</f>
        <v>10</v>
      </c>
      <c r="M15" s="11">
        <f>Table1[[#This Row], [TIPI 2 Item 3]] + 8 -Table1[[#This Row], [TIPI 2 Item 8]]</f>
        <v>10</v>
      </c>
      <c r="N15" s="11">
        <f>Table1[[#This Row], [TIPI 2 Item 1]] + 8 - Table1[[#This Row], [TIPI 2 Item 6]]</f>
        <v>7</v>
      </c>
      <c r="O15" s="11">
        <f>Table1[[#This Row], [TIPI 2 Item 7]] + 8 - Table1[[#This Row], [TIPI 2 Item 2]]</f>
        <v>8</v>
      </c>
      <c r="P15" s="11">
        <f>Table1[[#This Row], [TIPI 2 Item 4]] + 8 - Table1[[#This Row], [TIPI 2 Item 9]]</f>
        <v>8</v>
      </c>
      <c r="Q15" s="11">
        <v>5</v>
      </c>
      <c r="R15" s="11">
        <v>1</v>
      </c>
      <c r="S15" s="11">
        <v>5</v>
      </c>
      <c r="T15" s="11">
        <v>5</v>
      </c>
      <c r="U15" s="11">
        <v>7</v>
      </c>
      <c r="V15" s="11">
        <v>6</v>
      </c>
      <c r="W15" s="11">
        <v>5</v>
      </c>
      <c r="X15" s="11">
        <v>4</v>
      </c>
      <c r="Y15" s="11">
        <v>6</v>
      </c>
      <c r="Z15" s="11">
        <v>5</v>
      </c>
      <c r="AA15" s="11">
        <v>5</v>
      </c>
      <c r="AB15" s="11">
        <v>6</v>
      </c>
      <c r="AC15" s="11">
        <v>5</v>
      </c>
      <c r="AD15" s="11">
        <v>5</v>
      </c>
      <c r="AE15" s="11">
        <v>6</v>
      </c>
      <c r="AF15" s="11">
        <v>6</v>
      </c>
      <c r="AG15" s="11">
        <v>6</v>
      </c>
      <c r="AH15" s="11">
        <v>3</v>
      </c>
      <c r="AI15" s="11">
        <v>5</v>
      </c>
      <c r="AJ15" s="11">
        <v>4</v>
      </c>
    </row>
    <row r="16" spans="1:36" ht="19.5" customHeight="1" x14ac:dyDescent="0.25">
      <c r="A16" s="10" t="s">
        <v>76</v>
      </c>
      <c r="B16" s="31"/>
      <c r="C16" s="12"/>
      <c r="D16" s="12" t="s">
        <v>37</v>
      </c>
      <c r="E16" s="12" t="s">
        <v>38</v>
      </c>
      <c r="F16" s="13" t="s">
        <v>77</v>
      </c>
      <c r="G16" s="11">
        <f>Table1[[#This Row], [TIPI 1 Item 5]] + 8 - Table1[[#This Row], [TIPI 1 Item 10]]</f>
        <v>12</v>
      </c>
      <c r="H16" s="11">
        <f>Table1[[#This Row], [TIPI 1 Item 3]] + 8 -Table1[[#This Row], [TIPI 1 Item 8]]</f>
        <v>7</v>
      </c>
      <c r="I16" s="11">
        <f>Table1[[#This Row], [TIPI 1 Item 1]] + 8 - Table1[[#This Row], [TIPI 1 Item 6]]</f>
        <v>11</v>
      </c>
      <c r="J16" s="11">
        <f>Table1[[#This Row], [TIPI 1 Item 7]] + 8 - Table1[[#This Row], [TIPI 1 Item 2]]</f>
        <v>12</v>
      </c>
      <c r="K16" s="11">
        <f>Table1[[#This Row], [TIPI 1 Item 4]] + 8 - Table1[[#This Row], [TIPI 1 Item 9]]</f>
        <v>4</v>
      </c>
      <c r="L16" s="11">
        <f>Table1[[#This Row], [TIPI 2 Item 5]] + 8 - Table1[[#This Row], [TIPI 2 Item 10]]</f>
        <v>12</v>
      </c>
      <c r="M16" s="11">
        <f>Table1[[#This Row], [TIPI 2 Item 3]] + 8 -Table1[[#This Row], [TIPI 2 Item 8]]</f>
        <v>7</v>
      </c>
      <c r="N16" s="11">
        <f>Table1[[#This Row], [TIPI 2 Item 1]] + 8 - Table1[[#This Row], [TIPI 2 Item 6]]</f>
        <v>11</v>
      </c>
      <c r="O16" s="11">
        <f>Table1[[#This Row], [TIPI 2 Item 7]] + 8 - Table1[[#This Row], [TIPI 2 Item 2]]</f>
        <v>11</v>
      </c>
      <c r="P16" s="11">
        <f>Table1[[#This Row], [TIPI 2 Item 4]] + 8 - Table1[[#This Row], [TIPI 2 Item 9]]</f>
        <v>4</v>
      </c>
      <c r="Q16" s="11">
        <v>5</v>
      </c>
      <c r="R16" s="11">
        <v>2</v>
      </c>
      <c r="S16" s="11">
        <v>6</v>
      </c>
      <c r="T16" s="11">
        <v>2</v>
      </c>
      <c r="U16" s="11">
        <v>6</v>
      </c>
      <c r="V16" s="11">
        <v>2</v>
      </c>
      <c r="W16" s="11">
        <v>6</v>
      </c>
      <c r="X16" s="11">
        <v>7</v>
      </c>
      <c r="Y16" s="11">
        <v>6</v>
      </c>
      <c r="Z16" s="11">
        <v>2</v>
      </c>
      <c r="AA16" s="11">
        <v>5</v>
      </c>
      <c r="AB16" s="11">
        <v>3</v>
      </c>
      <c r="AC16" s="11">
        <v>6</v>
      </c>
      <c r="AD16" s="11">
        <v>2</v>
      </c>
      <c r="AE16" s="11">
        <v>6</v>
      </c>
      <c r="AF16" s="11">
        <v>2</v>
      </c>
      <c r="AG16" s="11">
        <v>6</v>
      </c>
      <c r="AH16" s="11">
        <v>7</v>
      </c>
      <c r="AI16" s="11">
        <v>6</v>
      </c>
      <c r="AJ16" s="11">
        <v>2</v>
      </c>
    </row>
    <row r="17" spans="1:36" ht="19.5" customHeight="1" x14ac:dyDescent="0.25">
      <c r="A17" s="10" t="s">
        <v>78</v>
      </c>
      <c r="B17" s="31"/>
      <c r="C17" s="12"/>
      <c r="D17" s="12" t="s">
        <v>37</v>
      </c>
      <c r="E17" s="12" t="s">
        <v>79</v>
      </c>
      <c r="F17" s="13" t="s">
        <v>80</v>
      </c>
      <c r="G17" s="11">
        <f>Table1[[#This Row], [TIPI 1 Item 5]] + 8 - Table1[[#This Row], [TIPI 1 Item 10]]</f>
        <v>11</v>
      </c>
      <c r="H17" s="11">
        <f>Table1[[#This Row], [TIPI 1 Item 3]] + 8 -Table1[[#This Row], [TIPI 1 Item 8]]</f>
        <v>14</v>
      </c>
      <c r="I17" s="11">
        <f>Table1[[#This Row], [TIPI 1 Item 1]] + 8 - Table1[[#This Row], [TIPI 1 Item 6]]</f>
        <v>7</v>
      </c>
      <c r="J17" s="11">
        <f>Table1[[#This Row], [TIPI 1 Item 7]] + 8 - Table1[[#This Row], [TIPI 1 Item 2]]</f>
        <v>13</v>
      </c>
      <c r="K17" s="11">
        <f>Table1[[#This Row], [TIPI 1 Item 4]] + 8 - Table1[[#This Row], [TIPI 1 Item 9]]</f>
        <v>6</v>
      </c>
      <c r="L17" s="11">
        <f>Table1[[#This Row], [TIPI 2 Item 5]] + 8 - Table1[[#This Row], [TIPI 2 Item 10]]</f>
        <v>14</v>
      </c>
      <c r="M17" s="11">
        <f>Table1[[#This Row], [TIPI 2 Item 3]] + 8 -Table1[[#This Row], [TIPI 2 Item 8]]</f>
        <v>14</v>
      </c>
      <c r="N17" s="11">
        <f>Table1[[#This Row], [TIPI 2 Item 1]] + 8 - Table1[[#This Row], [TIPI 2 Item 6]]</f>
        <v>8</v>
      </c>
      <c r="O17" s="11">
        <f>Table1[[#This Row], [TIPI 2 Item 7]] + 8 - Table1[[#This Row], [TIPI 2 Item 2]]</f>
        <v>8</v>
      </c>
      <c r="P17" s="11">
        <f>Table1[[#This Row], [TIPI 2 Item 4]] + 8 - Table1[[#This Row], [TIPI 2 Item 9]]</f>
        <v>2</v>
      </c>
      <c r="Q17" s="11">
        <v>6</v>
      </c>
      <c r="R17" s="11">
        <v>2</v>
      </c>
      <c r="S17" s="11">
        <v>7</v>
      </c>
      <c r="T17" s="11">
        <v>3</v>
      </c>
      <c r="U17" s="11">
        <v>4</v>
      </c>
      <c r="V17" s="11">
        <v>7</v>
      </c>
      <c r="W17" s="11">
        <v>7</v>
      </c>
      <c r="X17" s="11">
        <v>1</v>
      </c>
      <c r="Y17" s="11">
        <v>5</v>
      </c>
      <c r="Z17" s="11">
        <v>1</v>
      </c>
      <c r="AA17" s="11">
        <v>7</v>
      </c>
      <c r="AB17" s="11">
        <v>4</v>
      </c>
      <c r="AC17" s="11">
        <v>7</v>
      </c>
      <c r="AD17" s="11">
        <v>1</v>
      </c>
      <c r="AE17" s="11">
        <v>7</v>
      </c>
      <c r="AF17" s="11">
        <v>7</v>
      </c>
      <c r="AG17" s="11">
        <v>4</v>
      </c>
      <c r="AH17" s="11">
        <v>1</v>
      </c>
      <c r="AI17" s="11">
        <v>7</v>
      </c>
      <c r="AJ17" s="11">
        <v>1</v>
      </c>
    </row>
    <row r="18" spans="1:36" ht="19.5" customHeight="1" x14ac:dyDescent="0.25">
      <c r="A18" s="10" t="s">
        <v>81</v>
      </c>
      <c r="B18" s="31"/>
      <c r="C18" s="12"/>
      <c r="D18" s="12" t="s">
        <v>37</v>
      </c>
      <c r="E18" s="12" t="s">
        <v>53</v>
      </c>
      <c r="F18" s="13" t="s">
        <v>82</v>
      </c>
      <c r="G18" s="11">
        <f>Table1[[#This Row], [TIPI 1 Item 5]] + 8 - Table1[[#This Row], [TIPI 1 Item 10]]</f>
        <v>12</v>
      </c>
      <c r="H18" s="11">
        <f>Table1[[#This Row], [TIPI 1 Item 3]] + 8 -Table1[[#This Row], [TIPI 1 Item 8]]</f>
        <v>14</v>
      </c>
      <c r="I18" s="11">
        <f>Table1[[#This Row], [TIPI 1 Item 1]] + 8 - Table1[[#This Row], [TIPI 1 Item 6]]</f>
        <v>9</v>
      </c>
      <c r="J18" s="11">
        <f>Table1[[#This Row], [TIPI 1 Item 7]] + 8 - Table1[[#This Row], [TIPI 1 Item 2]]</f>
        <v>8</v>
      </c>
      <c r="K18" s="11">
        <f>Table1[[#This Row], [TIPI 1 Item 4]] + 8 - Table1[[#This Row], [TIPI 1 Item 9]]</f>
        <v>3</v>
      </c>
      <c r="L18" s="11">
        <f>Table1[[#This Row], [TIPI 2 Item 5]] + 8 - Table1[[#This Row], [TIPI 2 Item 10]]</f>
        <v>11</v>
      </c>
      <c r="M18" s="11">
        <f>Table1[[#This Row], [TIPI 2 Item 3]] + 8 -Table1[[#This Row], [TIPI 2 Item 8]]</f>
        <v>14</v>
      </c>
      <c r="N18" s="11">
        <f>Table1[[#This Row], [TIPI 2 Item 1]] + 8 - Table1[[#This Row], [TIPI 2 Item 6]]</f>
        <v>11</v>
      </c>
      <c r="O18" s="11">
        <f>Table1[[#This Row], [TIPI 2 Item 7]] + 8 - Table1[[#This Row], [TIPI 2 Item 2]]</f>
        <v>8</v>
      </c>
      <c r="P18" s="11">
        <f>Table1[[#This Row], [TIPI 2 Item 4]] + 8 - Table1[[#This Row], [TIPI 2 Item 9]]</f>
        <v>8</v>
      </c>
      <c r="Q18" s="11">
        <v>6</v>
      </c>
      <c r="R18" s="11">
        <v>7</v>
      </c>
      <c r="S18" s="11">
        <v>7</v>
      </c>
      <c r="T18" s="11">
        <v>1</v>
      </c>
      <c r="U18" s="11">
        <v>7</v>
      </c>
      <c r="V18" s="11">
        <v>5</v>
      </c>
      <c r="W18" s="11">
        <v>7</v>
      </c>
      <c r="X18" s="11">
        <v>1</v>
      </c>
      <c r="Y18" s="11">
        <v>6</v>
      </c>
      <c r="Z18" s="11">
        <v>3</v>
      </c>
      <c r="AA18" s="11">
        <v>6</v>
      </c>
      <c r="AB18" s="11">
        <v>7</v>
      </c>
      <c r="AC18" s="11">
        <v>7</v>
      </c>
      <c r="AD18" s="11">
        <v>5</v>
      </c>
      <c r="AE18" s="11">
        <v>7</v>
      </c>
      <c r="AF18" s="11">
        <v>3</v>
      </c>
      <c r="AG18" s="11">
        <v>7</v>
      </c>
      <c r="AH18" s="11">
        <v>1</v>
      </c>
      <c r="AI18" s="11">
        <v>5</v>
      </c>
      <c r="AJ18" s="11">
        <v>4</v>
      </c>
    </row>
    <row r="19" spans="1:36" ht="19.5" customHeight="1" x14ac:dyDescent="0.25">
      <c r="A19" s="10" t="s">
        <v>83</v>
      </c>
      <c r="B19" s="31"/>
      <c r="C19" s="12"/>
      <c r="D19" s="12" t="s">
        <v>37</v>
      </c>
      <c r="E19" s="12" t="s">
        <v>53</v>
      </c>
      <c r="F19" s="13" t="s">
        <v>84</v>
      </c>
      <c r="G19" s="11">
        <f>Table1[[#This Row], [TIPI 1 Item 5]] + 8 - Table1[[#This Row], [TIPI 1 Item 10]]</f>
        <v>9</v>
      </c>
      <c r="H19" s="11">
        <f>Table1[[#This Row], [TIPI 1 Item 3]] + 8 -Table1[[#This Row], [TIPI 1 Item 8]]</f>
        <v>11</v>
      </c>
      <c r="I19" s="11">
        <f>Table1[[#This Row], [TIPI 1 Item 1]] + 8 - Table1[[#This Row], [TIPI 1 Item 6]]</f>
        <v>9</v>
      </c>
      <c r="J19" s="11">
        <f>Table1[[#This Row], [TIPI 1 Item 7]] + 8 - Table1[[#This Row], [TIPI 1 Item 2]]</f>
        <v>6</v>
      </c>
      <c r="K19" s="11">
        <f>Table1[[#This Row], [TIPI 1 Item 4]] + 8 - Table1[[#This Row], [TIPI 1 Item 9]]</f>
        <v>7</v>
      </c>
      <c r="L19" s="11">
        <f>Table1[[#This Row], [TIPI 2 Item 5]] + 8 - Table1[[#This Row], [TIPI 2 Item 10]]</f>
        <v>10</v>
      </c>
      <c r="M19" s="11">
        <f>Table1[[#This Row], [TIPI 2 Item 3]] + 8 -Table1[[#This Row], [TIPI 2 Item 8]]</f>
        <v>9</v>
      </c>
      <c r="N19" s="11">
        <f>Table1[[#This Row], [TIPI 2 Item 1]] + 8 - Table1[[#This Row], [TIPI 2 Item 6]]</f>
        <v>9</v>
      </c>
      <c r="O19" s="11">
        <f>Table1[[#This Row], [TIPI 2 Item 7]] + 8 - Table1[[#This Row], [TIPI 2 Item 2]]</f>
        <v>7</v>
      </c>
      <c r="P19" s="11">
        <f>Table1[[#This Row], [TIPI 2 Item 4]] + 8 - Table1[[#This Row], [TIPI 2 Item 9]]</f>
        <v>8</v>
      </c>
      <c r="Q19" s="11">
        <v>5</v>
      </c>
      <c r="R19" s="11">
        <v>6</v>
      </c>
      <c r="S19" s="11">
        <v>7</v>
      </c>
      <c r="T19" s="11">
        <v>4</v>
      </c>
      <c r="U19" s="11">
        <v>6</v>
      </c>
      <c r="V19" s="11">
        <v>4</v>
      </c>
      <c r="W19" s="11">
        <v>4</v>
      </c>
      <c r="X19" s="11">
        <v>4</v>
      </c>
      <c r="Y19" s="11">
        <v>5</v>
      </c>
      <c r="Z19" s="11">
        <v>5</v>
      </c>
      <c r="AA19" s="11">
        <v>4</v>
      </c>
      <c r="AB19" s="11">
        <v>5</v>
      </c>
      <c r="AC19" s="11">
        <v>5</v>
      </c>
      <c r="AD19" s="11">
        <v>3</v>
      </c>
      <c r="AE19" s="11">
        <v>6</v>
      </c>
      <c r="AF19" s="11">
        <v>3</v>
      </c>
      <c r="AG19" s="11">
        <v>4</v>
      </c>
      <c r="AH19" s="11">
        <v>4</v>
      </c>
      <c r="AI19" s="11">
        <v>3</v>
      </c>
      <c r="AJ19" s="11">
        <v>4</v>
      </c>
    </row>
    <row r="20" spans="1:36" ht="19.5" customHeight="1" x14ac:dyDescent="0.25">
      <c r="A20" s="10" t="s">
        <v>85</v>
      </c>
      <c r="B20" s="31"/>
      <c r="C20" s="12"/>
      <c r="D20" s="12" t="s">
        <v>37</v>
      </c>
      <c r="E20" s="12" t="s">
        <v>53</v>
      </c>
      <c r="F20" s="13" t="s">
        <v>86</v>
      </c>
      <c r="G20" s="11">
        <f>Table1[[#This Row], [TIPI 1 Item 5]] + 8 - Table1[[#This Row], [TIPI 1 Item 10]]</f>
        <v>12</v>
      </c>
      <c r="H20" s="11">
        <f>Table1[[#This Row], [TIPI 1 Item 3]] + 8 -Table1[[#This Row], [TIPI 1 Item 8]]</f>
        <v>13</v>
      </c>
      <c r="I20" s="11">
        <f>Table1[[#This Row], [TIPI 1 Item 1]] + 8 - Table1[[#This Row], [TIPI 1 Item 6]]</f>
        <v>13</v>
      </c>
      <c r="J20" s="11">
        <f>Table1[[#This Row], [TIPI 1 Item 7]] + 8 - Table1[[#This Row], [TIPI 1 Item 2]]</f>
        <v>9</v>
      </c>
      <c r="K20" s="11">
        <f>Table1[[#This Row], [TIPI 1 Item 4]] + 8 - Table1[[#This Row], [TIPI 1 Item 9]]</f>
        <v>3</v>
      </c>
      <c r="L20" s="11">
        <f>Table1[[#This Row], [TIPI 2 Item 5]] + 8 - Table1[[#This Row], [TIPI 2 Item 10]]</f>
        <v>12</v>
      </c>
      <c r="M20" s="11">
        <f>Table1[[#This Row], [TIPI 2 Item 3]] + 8 -Table1[[#This Row], [TIPI 2 Item 8]]</f>
        <v>13</v>
      </c>
      <c r="N20" s="11">
        <f>Table1[[#This Row], [TIPI 2 Item 1]] + 8 - Table1[[#This Row], [TIPI 2 Item 6]]</f>
        <v>13</v>
      </c>
      <c r="O20" s="11">
        <f>Table1[[#This Row], [TIPI 2 Item 7]] + 8 - Table1[[#This Row], [TIPI 2 Item 2]]</f>
        <v>9</v>
      </c>
      <c r="P20" s="11">
        <f>Table1[[#This Row], [TIPI 2 Item 4]] + 8 - Table1[[#This Row], [TIPI 2 Item 9]]</f>
        <v>2</v>
      </c>
      <c r="Q20" s="11">
        <v>6</v>
      </c>
      <c r="R20" s="11">
        <v>6</v>
      </c>
      <c r="S20" s="11">
        <v>6</v>
      </c>
      <c r="T20" s="11">
        <v>1</v>
      </c>
      <c r="U20" s="11">
        <v>6</v>
      </c>
      <c r="V20" s="11">
        <v>1</v>
      </c>
      <c r="W20" s="11">
        <v>7</v>
      </c>
      <c r="X20" s="11">
        <v>1</v>
      </c>
      <c r="Y20" s="11">
        <v>6</v>
      </c>
      <c r="Z20" s="11">
        <v>2</v>
      </c>
      <c r="AA20" s="11">
        <v>6</v>
      </c>
      <c r="AB20" s="11">
        <v>6</v>
      </c>
      <c r="AC20" s="11">
        <v>6</v>
      </c>
      <c r="AD20" s="11">
        <v>1</v>
      </c>
      <c r="AE20" s="11">
        <v>6</v>
      </c>
      <c r="AF20" s="11">
        <v>1</v>
      </c>
      <c r="AG20" s="11">
        <v>7</v>
      </c>
      <c r="AH20" s="11">
        <v>1</v>
      </c>
      <c r="AI20" s="11">
        <v>7</v>
      </c>
      <c r="AJ20" s="11">
        <v>2</v>
      </c>
    </row>
    <row r="21" spans="1:36" ht="19.5" customHeight="1" x14ac:dyDescent="0.25">
      <c r="A21" s="10" t="s">
        <v>87</v>
      </c>
      <c r="B21" s="31"/>
      <c r="C21" s="12"/>
      <c r="D21" s="12" t="s">
        <v>68</v>
      </c>
      <c r="E21" s="12" t="s">
        <v>88</v>
      </c>
      <c r="F21" s="13" t="s">
        <v>89</v>
      </c>
      <c r="G21" s="11">
        <f>Table1[[#This Row], [TIPI 1 Item 5]] + 8 - Table1[[#This Row], [TIPI 1 Item 10]]</f>
        <v>14</v>
      </c>
      <c r="H21" s="11">
        <f>Table1[[#This Row], [TIPI 1 Item 3]] + 8 -Table1[[#This Row], [TIPI 1 Item 8]]</f>
        <v>10</v>
      </c>
      <c r="I21" s="11">
        <f>Table1[[#This Row], [TIPI 1 Item 1]] + 8 - Table1[[#This Row], [TIPI 1 Item 6]]</f>
        <v>10</v>
      </c>
      <c r="J21" s="11">
        <f>Table1[[#This Row], [TIPI 1 Item 7]] + 8 - Table1[[#This Row], [TIPI 1 Item 2]]</f>
        <v>8</v>
      </c>
      <c r="K21" s="11">
        <f>Table1[[#This Row], [TIPI 1 Item 4]] + 8 - Table1[[#This Row], [TIPI 1 Item 9]]</f>
        <v>8</v>
      </c>
      <c r="L21" s="11">
        <f>Table1[[#This Row], [TIPI 2 Item 5]] + 8 - Table1[[#This Row], [TIPI 2 Item 10]]</f>
        <v>14</v>
      </c>
      <c r="M21" s="11">
        <f>Table1[[#This Row], [TIPI 2 Item 3]] + 8 -Table1[[#This Row], [TIPI 2 Item 8]]</f>
        <v>6</v>
      </c>
      <c r="N21" s="11">
        <f>Table1[[#This Row], [TIPI 2 Item 1]] + 8 - Table1[[#This Row], [TIPI 2 Item 6]]</f>
        <v>7</v>
      </c>
      <c r="O21" s="11">
        <f>Table1[[#This Row], [TIPI 2 Item 7]] + 8 - Table1[[#This Row], [TIPI 2 Item 2]]</f>
        <v>9</v>
      </c>
      <c r="P21" s="11">
        <f>Table1[[#This Row], [TIPI 2 Item 4]] + 8 - Table1[[#This Row], [TIPI 2 Item 9]]</f>
        <v>12</v>
      </c>
      <c r="Q21" s="11">
        <v>5</v>
      </c>
      <c r="R21" s="11">
        <v>2</v>
      </c>
      <c r="S21" s="11">
        <v>6</v>
      </c>
      <c r="T21" s="11">
        <v>5</v>
      </c>
      <c r="U21" s="11">
        <v>7</v>
      </c>
      <c r="V21" s="11">
        <v>3</v>
      </c>
      <c r="W21" s="11">
        <v>2</v>
      </c>
      <c r="X21" s="11">
        <v>4</v>
      </c>
      <c r="Y21" s="11">
        <v>5</v>
      </c>
      <c r="Z21" s="11">
        <v>1</v>
      </c>
      <c r="AA21" s="11">
        <v>3</v>
      </c>
      <c r="AB21" s="11">
        <v>2</v>
      </c>
      <c r="AC21" s="11">
        <v>4</v>
      </c>
      <c r="AD21" s="11">
        <v>6</v>
      </c>
      <c r="AE21" s="11">
        <v>7</v>
      </c>
      <c r="AF21" s="11">
        <v>4</v>
      </c>
      <c r="AG21" s="11">
        <v>3</v>
      </c>
      <c r="AH21" s="11">
        <v>6</v>
      </c>
      <c r="AI21" s="11">
        <v>2</v>
      </c>
      <c r="AJ21" s="11">
        <v>1</v>
      </c>
    </row>
    <row r="22" spans="1:36" ht="19.5" customHeight="1" x14ac:dyDescent="0.25">
      <c r="A22" s="10" t="s">
        <v>90</v>
      </c>
      <c r="B22" s="31"/>
      <c r="C22" s="12"/>
      <c r="D22" s="12" t="s">
        <v>37</v>
      </c>
      <c r="E22" s="12" t="s">
        <v>91</v>
      </c>
      <c r="F22" s="13" t="s">
        <v>92</v>
      </c>
      <c r="G22" s="11">
        <f>Table1[[#This Row], [TIPI 1 Item 5]] + 8 - Table1[[#This Row], [TIPI 1 Item 10]]</f>
        <v>8</v>
      </c>
      <c r="H22" s="11">
        <f>Table1[[#This Row], [TIPI 1 Item 3]] + 8 -Table1[[#This Row], [TIPI 1 Item 8]]</f>
        <v>11</v>
      </c>
      <c r="I22" s="11">
        <f>Table1[[#This Row], [TIPI 1 Item 1]] + 8 - Table1[[#This Row], [TIPI 1 Item 6]]</f>
        <v>9</v>
      </c>
      <c r="J22" s="11">
        <f>Table1[[#This Row], [TIPI 1 Item 7]] + 8 - Table1[[#This Row], [TIPI 1 Item 2]]</f>
        <v>8</v>
      </c>
      <c r="K22" s="11">
        <f>Table1[[#This Row], [TIPI 1 Item 4]] + 8 - Table1[[#This Row], [TIPI 1 Item 9]]</f>
        <v>9</v>
      </c>
      <c r="L22" s="11">
        <f>Table1[[#This Row], [TIPI 2 Item 5]] + 8 - Table1[[#This Row], [TIPI 2 Item 10]]</f>
        <v>11</v>
      </c>
      <c r="M22" s="11">
        <f>Table1[[#This Row], [TIPI 2 Item 3]] + 8 -Table1[[#This Row], [TIPI 2 Item 8]]</f>
        <v>11</v>
      </c>
      <c r="N22" s="11">
        <f>Table1[[#This Row], [TIPI 2 Item 1]] + 8 - Table1[[#This Row], [TIPI 2 Item 6]]</f>
        <v>10</v>
      </c>
      <c r="O22" s="11">
        <f>Table1[[#This Row], [TIPI 2 Item 7]] + 8 - Table1[[#This Row], [TIPI 2 Item 2]]</f>
        <v>8</v>
      </c>
      <c r="P22" s="11">
        <f>Table1[[#This Row], [TIPI 2 Item 4]] + 8 - Table1[[#This Row], [TIPI 2 Item 9]]</f>
        <v>8</v>
      </c>
      <c r="Q22" s="11">
        <v>4</v>
      </c>
      <c r="R22" s="11">
        <v>5</v>
      </c>
      <c r="S22" s="11">
        <v>5</v>
      </c>
      <c r="T22" s="11">
        <v>5</v>
      </c>
      <c r="U22" s="11">
        <v>2</v>
      </c>
      <c r="V22" s="11">
        <v>3</v>
      </c>
      <c r="W22" s="11">
        <v>5</v>
      </c>
      <c r="X22" s="11">
        <v>2</v>
      </c>
      <c r="Y22" s="11">
        <v>4</v>
      </c>
      <c r="Z22" s="11">
        <v>2</v>
      </c>
      <c r="AA22" s="11">
        <v>5</v>
      </c>
      <c r="AB22" s="11">
        <v>4</v>
      </c>
      <c r="AC22" s="11">
        <v>5</v>
      </c>
      <c r="AD22" s="11">
        <v>5</v>
      </c>
      <c r="AE22" s="11">
        <v>5</v>
      </c>
      <c r="AF22" s="11">
        <v>3</v>
      </c>
      <c r="AG22" s="11">
        <v>4</v>
      </c>
      <c r="AH22" s="11">
        <v>2</v>
      </c>
      <c r="AI22" s="11">
        <v>5</v>
      </c>
      <c r="AJ22" s="11">
        <v>2</v>
      </c>
    </row>
    <row r="23" spans="1:36" ht="19.5" customHeight="1" x14ac:dyDescent="0.25">
      <c r="A23" s="10" t="s">
        <v>93</v>
      </c>
      <c r="B23" s="31"/>
      <c r="C23" s="12"/>
      <c r="D23" s="12" t="s">
        <v>37</v>
      </c>
      <c r="E23" s="12" t="s">
        <v>44</v>
      </c>
      <c r="F23" s="13" t="s">
        <v>94</v>
      </c>
      <c r="G23" s="11">
        <f>Table1[[#This Row], [TIPI 1 Item 5]] + 8 - Table1[[#This Row], [TIPI 1 Item 10]]</f>
        <v>9</v>
      </c>
      <c r="H23" s="11">
        <f>Table1[[#This Row], [TIPI 1 Item 3]] + 8 -Table1[[#This Row], [TIPI 1 Item 8]]</f>
        <v>8</v>
      </c>
      <c r="I23" s="11">
        <f>Table1[[#This Row], [TIPI 1 Item 1]] + 8 - Table1[[#This Row], [TIPI 1 Item 6]]</f>
        <v>14</v>
      </c>
      <c r="J23" s="11">
        <f>Table1[[#This Row], [TIPI 1 Item 7]] + 8 - Table1[[#This Row], [TIPI 1 Item 2]]</f>
        <v>6</v>
      </c>
      <c r="K23" s="11">
        <f>Table1[[#This Row], [TIPI 1 Item 4]] + 8 - Table1[[#This Row], [TIPI 1 Item 9]]</f>
        <v>5</v>
      </c>
      <c r="L23" s="11">
        <f>Table1[[#This Row], [TIPI 2 Item 5]] + 8 - Table1[[#This Row], [TIPI 2 Item 10]]</f>
        <v>9</v>
      </c>
      <c r="M23" s="11">
        <f>Table1[[#This Row], [TIPI 2 Item 3]] + 8 -Table1[[#This Row], [TIPI 2 Item 8]]</f>
        <v>8</v>
      </c>
      <c r="N23" s="11">
        <f>Table1[[#This Row], [TIPI 2 Item 1]] + 8 - Table1[[#This Row], [TIPI 2 Item 6]]</f>
        <v>12</v>
      </c>
      <c r="O23" s="11">
        <f>Table1[[#This Row], [TIPI 2 Item 7]] + 8 - Table1[[#This Row], [TIPI 2 Item 2]]</f>
        <v>10</v>
      </c>
      <c r="P23" s="11">
        <f>Table1[[#This Row], [TIPI 2 Item 4]] + 8 - Table1[[#This Row], [TIPI 2 Item 9]]</f>
        <v>10</v>
      </c>
      <c r="Q23" s="11">
        <v>7</v>
      </c>
      <c r="R23" s="11">
        <v>5</v>
      </c>
      <c r="S23" s="11">
        <v>5</v>
      </c>
      <c r="T23" s="11">
        <v>3</v>
      </c>
      <c r="U23" s="11">
        <v>6</v>
      </c>
      <c r="V23" s="11">
        <v>1</v>
      </c>
      <c r="W23" s="11">
        <v>3</v>
      </c>
      <c r="X23" s="11">
        <v>5</v>
      </c>
      <c r="Y23" s="11">
        <v>6</v>
      </c>
      <c r="Z23" s="11">
        <v>5</v>
      </c>
      <c r="AA23" s="11">
        <v>6</v>
      </c>
      <c r="AB23" s="11">
        <v>3</v>
      </c>
      <c r="AC23" s="11">
        <v>6</v>
      </c>
      <c r="AD23" s="11">
        <v>5</v>
      </c>
      <c r="AE23" s="11">
        <v>7</v>
      </c>
      <c r="AF23" s="11">
        <v>2</v>
      </c>
      <c r="AG23" s="11">
        <v>5</v>
      </c>
      <c r="AH23" s="11">
        <v>6</v>
      </c>
      <c r="AI23" s="11">
        <v>3</v>
      </c>
      <c r="AJ23" s="11">
        <v>6</v>
      </c>
    </row>
    <row r="24" spans="1:36" ht="19.5" customHeight="1" x14ac:dyDescent="0.25">
      <c r="A24" s="10" t="s">
        <v>95</v>
      </c>
      <c r="B24" s="31"/>
      <c r="C24" s="12"/>
      <c r="D24" s="12" t="s">
        <v>68</v>
      </c>
      <c r="E24" s="12" t="s">
        <v>96</v>
      </c>
      <c r="F24" s="13" t="s">
        <v>97</v>
      </c>
      <c r="G24" s="11">
        <f>Table1[[#This Row], [TIPI 1 Item 5]] + 8 - Table1[[#This Row], [TIPI 1 Item 10]]</f>
        <v>12</v>
      </c>
      <c r="H24" s="11">
        <f>Table1[[#This Row], [TIPI 1 Item 3]] + 8 -Table1[[#This Row], [TIPI 1 Item 8]]</f>
        <v>12</v>
      </c>
      <c r="I24" s="11">
        <f>Table1[[#This Row], [TIPI 1 Item 1]] + 8 - Table1[[#This Row], [TIPI 1 Item 6]]</f>
        <v>12</v>
      </c>
      <c r="J24" s="11">
        <f>Table1[[#This Row], [TIPI 1 Item 7]] + 8 - Table1[[#This Row], [TIPI 1 Item 2]]</f>
        <v>8</v>
      </c>
      <c r="K24" s="11">
        <f>Table1[[#This Row], [TIPI 1 Item 4]] + 8 - Table1[[#This Row], [TIPI 1 Item 9]]</f>
        <v>5</v>
      </c>
      <c r="L24" s="11">
        <f>Table1[[#This Row], [TIPI 2 Item 5]] + 8 - Table1[[#This Row], [TIPI 2 Item 10]]</f>
        <v>12</v>
      </c>
      <c r="M24" s="11">
        <f>Table1[[#This Row], [TIPI 2 Item 3]] + 8 -Table1[[#This Row], [TIPI 2 Item 8]]</f>
        <v>12</v>
      </c>
      <c r="N24" s="11">
        <f>Table1[[#This Row], [TIPI 2 Item 1]] + 8 - Table1[[#This Row], [TIPI 2 Item 6]]</f>
        <v>11</v>
      </c>
      <c r="O24" s="11">
        <f>Table1[[#This Row], [TIPI 2 Item 7]] + 8 - Table1[[#This Row], [TIPI 2 Item 2]]</f>
        <v>9</v>
      </c>
      <c r="P24" s="11">
        <f>Table1[[#This Row], [TIPI 2 Item 4]] + 8 - Table1[[#This Row], [TIPI 2 Item 9]]</f>
        <v>6</v>
      </c>
      <c r="Q24" s="11">
        <v>6</v>
      </c>
      <c r="R24" s="11">
        <v>6</v>
      </c>
      <c r="S24" s="11">
        <v>6</v>
      </c>
      <c r="T24" s="11">
        <v>3</v>
      </c>
      <c r="U24" s="11">
        <v>7</v>
      </c>
      <c r="V24" s="11">
        <v>2</v>
      </c>
      <c r="W24" s="11">
        <v>6</v>
      </c>
      <c r="X24" s="11">
        <v>2</v>
      </c>
      <c r="Y24" s="11">
        <v>6</v>
      </c>
      <c r="Z24" s="11">
        <v>3</v>
      </c>
      <c r="AA24" s="11">
        <v>5</v>
      </c>
      <c r="AB24" s="11">
        <v>5</v>
      </c>
      <c r="AC24" s="11">
        <v>6</v>
      </c>
      <c r="AD24" s="11">
        <v>3</v>
      </c>
      <c r="AE24" s="11">
        <v>7</v>
      </c>
      <c r="AF24" s="11">
        <v>2</v>
      </c>
      <c r="AG24" s="11">
        <v>6</v>
      </c>
      <c r="AH24" s="11">
        <v>2</v>
      </c>
      <c r="AI24" s="11">
        <v>5</v>
      </c>
      <c r="AJ24" s="11">
        <v>3</v>
      </c>
    </row>
    <row r="25" spans="1:36" ht="19.5" customHeight="1" x14ac:dyDescent="0.25">
      <c r="A25" s="10" t="s">
        <v>98</v>
      </c>
      <c r="B25" s="31"/>
      <c r="C25" s="12"/>
      <c r="D25" s="12" t="s">
        <v>37</v>
      </c>
      <c r="E25" s="12" t="s">
        <v>38</v>
      </c>
      <c r="F25" s="13" t="s">
        <v>99</v>
      </c>
      <c r="G25" s="11">
        <f>Table1[[#This Row], [TIPI 1 Item 5]] + 8 - Table1[[#This Row], [TIPI 1 Item 10]]</f>
        <v>10</v>
      </c>
      <c r="H25" s="11">
        <f>Table1[[#This Row], [TIPI 1 Item 3]] + 8 -Table1[[#This Row], [TIPI 1 Item 8]]</f>
        <v>8</v>
      </c>
      <c r="I25" s="11">
        <f>Table1[[#This Row], [TIPI 1 Item 1]] + 8 - Table1[[#This Row], [TIPI 1 Item 6]]</f>
        <v>6</v>
      </c>
      <c r="J25" s="11">
        <f>Table1[[#This Row], [TIPI 1 Item 7]] + 8 - Table1[[#This Row], [TIPI 1 Item 2]]</f>
        <v>9</v>
      </c>
      <c r="K25" s="11">
        <f>Table1[[#This Row], [TIPI 1 Item 4]] + 8 - Table1[[#This Row], [TIPI 1 Item 9]]</f>
        <v>8</v>
      </c>
      <c r="L25" s="11">
        <f>Table1[[#This Row], [TIPI 2 Item 5]] + 8 - Table1[[#This Row], [TIPI 2 Item 10]]</f>
        <v>9</v>
      </c>
      <c r="M25" s="11">
        <f>Table1[[#This Row], [TIPI 2 Item 3]] + 8 -Table1[[#This Row], [TIPI 2 Item 8]]</f>
        <v>8</v>
      </c>
      <c r="N25" s="11">
        <f>Table1[[#This Row], [TIPI 2 Item 1]] + 8 - Table1[[#This Row], [TIPI 2 Item 6]]</f>
        <v>7</v>
      </c>
      <c r="O25" s="11">
        <f>Table1[[#This Row], [TIPI 2 Item 7]] + 8 - Table1[[#This Row], [TIPI 2 Item 2]]</f>
        <v>8</v>
      </c>
      <c r="P25" s="11">
        <f>Table1[[#This Row], [TIPI 2 Item 4]] + 8 - Table1[[#This Row], [TIPI 2 Item 9]]</f>
        <v>8</v>
      </c>
      <c r="Q25" s="11">
        <v>3</v>
      </c>
      <c r="R25" s="11">
        <v>4</v>
      </c>
      <c r="S25" s="11">
        <v>4</v>
      </c>
      <c r="T25" s="11">
        <v>4</v>
      </c>
      <c r="U25" s="11">
        <v>5</v>
      </c>
      <c r="V25" s="11">
        <v>5</v>
      </c>
      <c r="W25" s="11">
        <v>5</v>
      </c>
      <c r="X25" s="11">
        <v>4</v>
      </c>
      <c r="Y25" s="11">
        <v>4</v>
      </c>
      <c r="Z25" s="11">
        <v>3</v>
      </c>
      <c r="AA25" s="11">
        <v>4</v>
      </c>
      <c r="AB25" s="11">
        <v>4</v>
      </c>
      <c r="AC25" s="11">
        <v>4</v>
      </c>
      <c r="AD25" s="11">
        <v>4</v>
      </c>
      <c r="AE25" s="11">
        <v>5</v>
      </c>
      <c r="AF25" s="11">
        <v>5</v>
      </c>
      <c r="AG25" s="11">
        <v>4</v>
      </c>
      <c r="AH25" s="11">
        <v>4</v>
      </c>
      <c r="AI25" s="11">
        <v>4</v>
      </c>
      <c r="AJ25" s="11">
        <v>4</v>
      </c>
    </row>
    <row r="26" spans="1:36" ht="19.5" customHeight="1" x14ac:dyDescent="0.25">
      <c r="A26" s="10" t="s">
        <v>100</v>
      </c>
      <c r="B26" s="31"/>
      <c r="C26" s="19"/>
      <c r="D26" s="19" t="s">
        <v>68</v>
      </c>
      <c r="E26" s="19" t="s">
        <v>38</v>
      </c>
      <c r="F26" s="13" t="s">
        <v>101</v>
      </c>
      <c r="G26" s="11">
        <f>Table1[[#This Row], [TIPI 1 Item 5]] + 8 - Table1[[#This Row], [TIPI 1 Item 10]]</f>
        <v>12</v>
      </c>
      <c r="H26" s="11">
        <f>Table1[[#This Row], [TIPI 1 Item 3]] + 8 -Table1[[#This Row], [TIPI 1 Item 8]]</f>
        <v>14</v>
      </c>
      <c r="I26" s="11">
        <f>Table1[[#This Row], [TIPI 1 Item 1]] + 8 - Table1[[#This Row], [TIPI 1 Item 6]]</f>
        <v>8</v>
      </c>
      <c r="J26" s="11">
        <f>Table1[[#This Row], [TIPI 1 Item 7]] + 8 - Table1[[#This Row], [TIPI 1 Item 2]]</f>
        <v>11</v>
      </c>
      <c r="K26" s="11">
        <f>Table1[[#This Row], [TIPI 1 Item 4]] + 8 - Table1[[#This Row], [TIPI 1 Item 9]]</f>
        <v>10</v>
      </c>
      <c r="L26" s="11">
        <f>Table1[[#This Row], [TIPI 2 Item 5]] + 8 - Table1[[#This Row], [TIPI 2 Item 10]]</f>
        <v>10</v>
      </c>
      <c r="M26" s="11">
        <f>Table1[[#This Row], [TIPI 2 Item 3]] + 8 -Table1[[#This Row], [TIPI 2 Item 8]]</f>
        <v>11</v>
      </c>
      <c r="N26" s="11">
        <f>Table1[[#This Row], [TIPI 2 Item 1]] + 8 - Table1[[#This Row], [TIPI 2 Item 6]]</f>
        <v>8</v>
      </c>
      <c r="O26" s="11">
        <f>Table1[[#This Row], [TIPI 2 Item 7]] + 8 - Table1[[#This Row], [TIPI 2 Item 2]]</f>
        <v>10</v>
      </c>
      <c r="P26" s="11">
        <f>Table1[[#This Row], [TIPI 2 Item 4]] + 8 - Table1[[#This Row], [TIPI 2 Item 9]]</f>
        <v>7</v>
      </c>
      <c r="Q26" s="11">
        <v>6</v>
      </c>
      <c r="R26" s="11">
        <v>2</v>
      </c>
      <c r="S26" s="11">
        <v>7</v>
      </c>
      <c r="T26" s="11">
        <v>4</v>
      </c>
      <c r="U26" s="11">
        <v>6</v>
      </c>
      <c r="V26" s="11">
        <v>6</v>
      </c>
      <c r="W26" s="11">
        <v>5</v>
      </c>
      <c r="X26" s="11">
        <v>1</v>
      </c>
      <c r="Y26" s="11">
        <v>2</v>
      </c>
      <c r="Z26" s="11">
        <v>2</v>
      </c>
      <c r="AA26" s="11">
        <v>6</v>
      </c>
      <c r="AB26" s="11">
        <v>3</v>
      </c>
      <c r="AC26" s="11">
        <v>6</v>
      </c>
      <c r="AD26" s="11">
        <v>3</v>
      </c>
      <c r="AE26" s="11">
        <v>6</v>
      </c>
      <c r="AF26" s="11">
        <v>6</v>
      </c>
      <c r="AG26" s="11">
        <v>5</v>
      </c>
      <c r="AH26" s="11">
        <v>3</v>
      </c>
      <c r="AI26" s="11">
        <v>4</v>
      </c>
      <c r="AJ26" s="11">
        <v>4</v>
      </c>
    </row>
    <row r="27" spans="1:36" ht="19.5" customHeight="1" x14ac:dyDescent="0.25">
      <c r="A27" s="10" t="s">
        <v>102</v>
      </c>
      <c r="B27" s="31"/>
      <c r="C27" s="12"/>
      <c r="D27" s="12" t="s">
        <v>37</v>
      </c>
      <c r="E27" s="12" t="s">
        <v>50</v>
      </c>
      <c r="F27" s="13" t="s">
        <v>103</v>
      </c>
      <c r="G27" s="11">
        <f>Table1[[#This Row], [TIPI 1 Item 5]] + 8 - Table1[[#This Row], [TIPI 1 Item 10]]</f>
        <v>11</v>
      </c>
      <c r="H27" s="11">
        <f>Table1[[#This Row], [TIPI 1 Item 3]] + 8 -Table1[[#This Row], [TIPI 1 Item 8]]</f>
        <v>9</v>
      </c>
      <c r="I27" s="11">
        <f>Table1[[#This Row], [TIPI 1 Item 1]] + 8 - Table1[[#This Row], [TIPI 1 Item 6]]</f>
        <v>8</v>
      </c>
      <c r="J27" s="11">
        <f>Table1[[#This Row], [TIPI 1 Item 7]] + 8 - Table1[[#This Row], [TIPI 1 Item 2]]</f>
        <v>12</v>
      </c>
      <c r="K27" s="11">
        <f>Table1[[#This Row], [TIPI 1 Item 4]] + 8 - Table1[[#This Row], [TIPI 1 Item 9]]</f>
        <v>2</v>
      </c>
      <c r="L27" s="11">
        <f>Table1[[#This Row], [TIPI 2 Item 5]] + 8 - Table1[[#This Row], [TIPI 2 Item 10]]</f>
        <v>13</v>
      </c>
      <c r="M27" s="11">
        <f>Table1[[#This Row], [TIPI 2 Item 3]] + 8 -Table1[[#This Row], [TIPI 2 Item 8]]</f>
        <v>8</v>
      </c>
      <c r="N27" s="11">
        <f>Table1[[#This Row], [TIPI 2 Item 1]] + 8 - Table1[[#This Row], [TIPI 2 Item 6]]</f>
        <v>7</v>
      </c>
      <c r="O27" s="11">
        <f>Table1[[#This Row], [TIPI 2 Item 7]] + 8 - Table1[[#This Row], [TIPI 2 Item 2]]</f>
        <v>13</v>
      </c>
      <c r="P27" s="11">
        <f>Table1[[#This Row], [TIPI 2 Item 4]] + 8 - Table1[[#This Row], [TIPI 2 Item 9]]</f>
        <v>2</v>
      </c>
      <c r="Q27" s="11">
        <v>5</v>
      </c>
      <c r="R27" s="11">
        <v>2</v>
      </c>
      <c r="S27" s="11">
        <v>2</v>
      </c>
      <c r="T27" s="11">
        <v>1</v>
      </c>
      <c r="U27" s="11">
        <v>6</v>
      </c>
      <c r="V27" s="11">
        <v>5</v>
      </c>
      <c r="W27" s="11">
        <v>6</v>
      </c>
      <c r="X27" s="11">
        <v>1</v>
      </c>
      <c r="Y27" s="11">
        <v>7</v>
      </c>
      <c r="Z27" s="11">
        <v>3</v>
      </c>
      <c r="AA27" s="11">
        <v>6</v>
      </c>
      <c r="AB27" s="11">
        <v>2</v>
      </c>
      <c r="AC27" s="11">
        <v>2</v>
      </c>
      <c r="AD27" s="11">
        <v>1</v>
      </c>
      <c r="AE27" s="11">
        <v>7</v>
      </c>
      <c r="AF27" s="11">
        <v>7</v>
      </c>
      <c r="AG27" s="11">
        <v>7</v>
      </c>
      <c r="AH27" s="11">
        <v>2</v>
      </c>
      <c r="AI27" s="11">
        <v>7</v>
      </c>
      <c r="AJ27" s="11">
        <v>2</v>
      </c>
    </row>
    <row r="28" spans="1:36" ht="19.5" customHeight="1" x14ac:dyDescent="0.25">
      <c r="A28" s="10" t="s">
        <v>104</v>
      </c>
      <c r="B28" s="31"/>
      <c r="C28" s="12"/>
      <c r="D28" s="12" t="s">
        <v>37</v>
      </c>
      <c r="E28" s="12" t="s">
        <v>53</v>
      </c>
      <c r="F28" s="13" t="s">
        <v>105</v>
      </c>
      <c r="G28" s="11">
        <f>Table1[[#This Row], [TIPI 1 Item 5]] + 8 - Table1[[#This Row], [TIPI 1 Item 10]]</f>
        <v>10</v>
      </c>
      <c r="H28" s="11">
        <f>Table1[[#This Row], [TIPI 1 Item 3]] + 8 -Table1[[#This Row], [TIPI 1 Item 8]]</f>
        <v>9</v>
      </c>
      <c r="I28" s="11">
        <f>Table1[[#This Row], [TIPI 1 Item 1]] + 8 - Table1[[#This Row], [TIPI 1 Item 6]]</f>
        <v>4</v>
      </c>
      <c r="J28" s="11">
        <f>Table1[[#This Row], [TIPI 1 Item 7]] + 8 - Table1[[#This Row], [TIPI 1 Item 2]]</f>
        <v>8</v>
      </c>
      <c r="K28" s="11">
        <f>Table1[[#This Row], [TIPI 1 Item 4]] + 8 - Table1[[#This Row], [TIPI 1 Item 9]]</f>
        <v>10</v>
      </c>
      <c r="L28" s="11">
        <f>Table1[[#This Row], [TIPI 2 Item 5]] + 8 - Table1[[#This Row], [TIPI 2 Item 10]]</f>
        <v>9</v>
      </c>
      <c r="M28" s="11">
        <f>Table1[[#This Row], [TIPI 2 Item 3]] + 8 -Table1[[#This Row], [TIPI 2 Item 8]]</f>
        <v>7</v>
      </c>
      <c r="N28" s="11">
        <f>Table1[[#This Row], [TIPI 2 Item 1]] + 8 - Table1[[#This Row], [TIPI 2 Item 6]]</f>
        <v>4</v>
      </c>
      <c r="O28" s="11">
        <f>Table1[[#This Row], [TIPI 2 Item 7]] + 8 - Table1[[#This Row], [TIPI 2 Item 2]]</f>
        <v>10</v>
      </c>
      <c r="P28" s="11">
        <f>Table1[[#This Row], [TIPI 2 Item 4]] + 8 - Table1[[#This Row], [TIPI 2 Item 9]]</f>
        <v>10</v>
      </c>
      <c r="Q28" s="11">
        <v>2</v>
      </c>
      <c r="R28" s="11">
        <v>3</v>
      </c>
      <c r="S28" s="11">
        <v>5</v>
      </c>
      <c r="T28" s="11">
        <v>5</v>
      </c>
      <c r="U28" s="11">
        <v>4</v>
      </c>
      <c r="V28" s="11">
        <v>6</v>
      </c>
      <c r="W28" s="11">
        <v>3</v>
      </c>
      <c r="X28" s="11">
        <v>4</v>
      </c>
      <c r="Y28" s="11">
        <v>3</v>
      </c>
      <c r="Z28" s="11">
        <v>2</v>
      </c>
      <c r="AA28" s="11">
        <v>2</v>
      </c>
      <c r="AB28" s="11">
        <v>3</v>
      </c>
      <c r="AC28" s="11">
        <v>5</v>
      </c>
      <c r="AD28" s="11">
        <v>5</v>
      </c>
      <c r="AE28" s="11">
        <v>3</v>
      </c>
      <c r="AF28" s="11">
        <v>6</v>
      </c>
      <c r="AG28" s="11">
        <v>5</v>
      </c>
      <c r="AH28" s="11">
        <v>6</v>
      </c>
      <c r="AI28" s="11">
        <v>3</v>
      </c>
      <c r="AJ28" s="11">
        <v>2</v>
      </c>
    </row>
    <row r="29" spans="1:36" ht="19.5" customHeight="1" x14ac:dyDescent="0.25">
      <c r="A29" s="10" t="s">
        <v>106</v>
      </c>
      <c r="B29" s="31"/>
      <c r="C29" s="12"/>
      <c r="D29" s="12" t="s">
        <v>68</v>
      </c>
      <c r="E29" s="12" t="s">
        <v>44</v>
      </c>
      <c r="F29" s="13" t="s">
        <v>107</v>
      </c>
      <c r="G29" s="11">
        <f>Table1[[#This Row], [TIPI 1 Item 5]] + 8 - Table1[[#This Row], [TIPI 1 Item 10]]</f>
        <v>11</v>
      </c>
      <c r="H29" s="11">
        <f>Table1[[#This Row], [TIPI 1 Item 3]] + 8 -Table1[[#This Row], [TIPI 1 Item 8]]</f>
        <v>12</v>
      </c>
      <c r="I29" s="11">
        <f>Table1[[#This Row], [TIPI 1 Item 1]] + 8 - Table1[[#This Row], [TIPI 1 Item 6]]</f>
        <v>10</v>
      </c>
      <c r="J29" s="11">
        <f>Table1[[#This Row], [TIPI 1 Item 7]] + 8 - Table1[[#This Row], [TIPI 1 Item 2]]</f>
        <v>8</v>
      </c>
      <c r="K29" s="11">
        <f>Table1[[#This Row], [TIPI 1 Item 4]] + 8 - Table1[[#This Row], [TIPI 1 Item 9]]</f>
        <v>4</v>
      </c>
      <c r="L29" s="11">
        <f>Table1[[#This Row], [TIPI 2 Item 5]] + 8 - Table1[[#This Row], [TIPI 2 Item 10]]</f>
        <v>9</v>
      </c>
      <c r="M29" s="11">
        <f>Table1[[#This Row], [TIPI 2 Item 3]] + 8 -Table1[[#This Row], [TIPI 2 Item 8]]</f>
        <v>13</v>
      </c>
      <c r="N29" s="11">
        <f>Table1[[#This Row], [TIPI 2 Item 1]] + 8 - Table1[[#This Row], [TIPI 2 Item 6]]</f>
        <v>13</v>
      </c>
      <c r="O29" s="11">
        <f>Table1[[#This Row], [TIPI 2 Item 7]] + 8 - Table1[[#This Row], [TIPI 2 Item 2]]</f>
        <v>8</v>
      </c>
      <c r="P29" s="11">
        <f>Table1[[#This Row], [TIPI 2 Item 4]] + 8 - Table1[[#This Row], [TIPI 2 Item 9]]</f>
        <v>4</v>
      </c>
      <c r="Q29" s="11">
        <v>6</v>
      </c>
      <c r="R29" s="11">
        <v>6</v>
      </c>
      <c r="S29" s="11">
        <v>5</v>
      </c>
      <c r="T29" s="11">
        <v>1</v>
      </c>
      <c r="U29" s="11">
        <v>7</v>
      </c>
      <c r="V29" s="11">
        <v>4</v>
      </c>
      <c r="W29" s="11">
        <v>6</v>
      </c>
      <c r="X29" s="11">
        <v>1</v>
      </c>
      <c r="Y29" s="11">
        <v>5</v>
      </c>
      <c r="Z29" s="11">
        <v>4</v>
      </c>
      <c r="AA29" s="11">
        <v>7</v>
      </c>
      <c r="AB29" s="11">
        <v>6</v>
      </c>
      <c r="AC29" s="11">
        <v>6</v>
      </c>
      <c r="AD29" s="11">
        <v>2</v>
      </c>
      <c r="AE29" s="11">
        <v>7</v>
      </c>
      <c r="AF29" s="11">
        <v>2</v>
      </c>
      <c r="AG29" s="11">
        <v>6</v>
      </c>
      <c r="AH29" s="11">
        <v>1</v>
      </c>
      <c r="AI29" s="11">
        <v>6</v>
      </c>
      <c r="AJ29" s="11">
        <v>6</v>
      </c>
    </row>
    <row r="30" spans="1:36" ht="19.5" customHeight="1" x14ac:dyDescent="0.25">
      <c r="A30" s="10" t="s">
        <v>108</v>
      </c>
      <c r="B30" s="31"/>
      <c r="C30" s="12"/>
      <c r="D30" s="12" t="s">
        <v>37</v>
      </c>
      <c r="E30" s="12" t="s">
        <v>109</v>
      </c>
      <c r="F30" s="13" t="s">
        <v>110</v>
      </c>
      <c r="G30" s="11">
        <f>Table1[[#This Row], [TIPI 1 Item 5]] + 8 - Table1[[#This Row], [TIPI 1 Item 10]]</f>
        <v>10</v>
      </c>
      <c r="H30" s="11">
        <f>Table1[[#This Row], [TIPI 1 Item 3]] + 8 -Table1[[#This Row], [TIPI 1 Item 8]]</f>
        <v>6</v>
      </c>
      <c r="I30" s="11">
        <f>Table1[[#This Row], [TIPI 1 Item 1]] + 8 - Table1[[#This Row], [TIPI 1 Item 6]]</f>
        <v>7</v>
      </c>
      <c r="J30" s="11">
        <f>Table1[[#This Row], [TIPI 1 Item 7]] + 8 - Table1[[#This Row], [TIPI 1 Item 2]]</f>
        <v>8</v>
      </c>
      <c r="K30" s="11">
        <f>Table1[[#This Row], [TIPI 1 Item 4]] + 8 - Table1[[#This Row], [TIPI 1 Item 9]]</f>
        <v>8</v>
      </c>
      <c r="L30" s="11">
        <f>Table1[[#This Row], [TIPI 2 Item 5]] + 8 - Table1[[#This Row], [TIPI 2 Item 10]]</f>
        <v>11</v>
      </c>
      <c r="M30" s="11">
        <f>Table1[[#This Row], [TIPI 2 Item 3]] + 8 -Table1[[#This Row], [TIPI 2 Item 8]]</f>
        <v>7</v>
      </c>
      <c r="N30" s="11">
        <f>Table1[[#This Row], [TIPI 2 Item 1]] + 8 - Table1[[#This Row], [TIPI 2 Item 6]]</f>
        <v>7</v>
      </c>
      <c r="O30" s="11">
        <f>Table1[[#This Row], [TIPI 2 Item 7]] + 8 - Table1[[#This Row], [TIPI 2 Item 2]]</f>
        <v>9</v>
      </c>
      <c r="P30" s="11">
        <f>Table1[[#This Row], [TIPI 2 Item 4]] + 8 - Table1[[#This Row], [TIPI 2 Item 9]]</f>
        <v>9</v>
      </c>
      <c r="Q30" s="11">
        <v>4</v>
      </c>
      <c r="R30" s="11">
        <v>5</v>
      </c>
      <c r="S30" s="11">
        <v>3</v>
      </c>
      <c r="T30" s="11">
        <v>5</v>
      </c>
      <c r="U30" s="11">
        <v>5</v>
      </c>
      <c r="V30" s="11">
        <v>5</v>
      </c>
      <c r="W30" s="11">
        <v>5</v>
      </c>
      <c r="X30" s="11">
        <v>5</v>
      </c>
      <c r="Y30" s="11">
        <v>5</v>
      </c>
      <c r="Z30" s="11">
        <v>3</v>
      </c>
      <c r="AA30" s="11">
        <v>3</v>
      </c>
      <c r="AB30" s="11">
        <v>5</v>
      </c>
      <c r="AC30" s="11">
        <v>2</v>
      </c>
      <c r="AD30" s="11">
        <v>6</v>
      </c>
      <c r="AE30" s="11">
        <v>6</v>
      </c>
      <c r="AF30" s="11">
        <v>4</v>
      </c>
      <c r="AG30" s="11">
        <v>6</v>
      </c>
      <c r="AH30" s="11">
        <v>3</v>
      </c>
      <c r="AI30" s="11">
        <v>5</v>
      </c>
      <c r="AJ30" s="11">
        <v>3</v>
      </c>
    </row>
    <row r="31" spans="1:36" ht="19.5" customHeight="1" x14ac:dyDescent="0.25">
      <c r="A31" s="10" t="s">
        <v>111</v>
      </c>
      <c r="B31" s="31"/>
      <c r="C31" s="12"/>
      <c r="D31" s="12" t="s">
        <v>37</v>
      </c>
      <c r="E31" s="12" t="s">
        <v>72</v>
      </c>
      <c r="F31" s="13" t="s">
        <v>112</v>
      </c>
      <c r="G31" s="11">
        <f>Table1[[#This Row], [TIPI 1 Item 5]] + 8 - Table1[[#This Row], [TIPI 1 Item 10]]</f>
        <v>11</v>
      </c>
      <c r="H31" s="11">
        <f>Table1[[#This Row], [TIPI 1 Item 3]] + 8 -Table1[[#This Row], [TIPI 1 Item 8]]</f>
        <v>12</v>
      </c>
      <c r="I31" s="11">
        <f>Table1[[#This Row], [TIPI 1 Item 1]] + 8 - Table1[[#This Row], [TIPI 1 Item 6]]</f>
        <v>5</v>
      </c>
      <c r="J31" s="11">
        <f>Table1[[#This Row], [TIPI 1 Item 7]] + 8 - Table1[[#This Row], [TIPI 1 Item 2]]</f>
        <v>8</v>
      </c>
      <c r="K31" s="11">
        <f>Table1[[#This Row], [TIPI 1 Item 4]] + 8 - Table1[[#This Row], [TIPI 1 Item 9]]</f>
        <v>7</v>
      </c>
      <c r="L31" s="11">
        <f>Table1[[#This Row], [TIPI 2 Item 5]] + 8 - Table1[[#This Row], [TIPI 2 Item 10]]</f>
        <v>8</v>
      </c>
      <c r="M31" s="11">
        <f>Table1[[#This Row], [TIPI 2 Item 3]] + 8 -Table1[[#This Row], [TIPI 2 Item 8]]</f>
        <v>12</v>
      </c>
      <c r="N31" s="11">
        <f>Table1[[#This Row], [TIPI 2 Item 1]] + 8 - Table1[[#This Row], [TIPI 2 Item 6]]</f>
        <v>5</v>
      </c>
      <c r="O31" s="11">
        <f>Table1[[#This Row], [TIPI 2 Item 7]] + 8 - Table1[[#This Row], [TIPI 2 Item 2]]</f>
        <v>7</v>
      </c>
      <c r="P31" s="11">
        <f>Table1[[#This Row], [TIPI 2 Item 4]] + 8 - Table1[[#This Row], [TIPI 2 Item 9]]</f>
        <v>5</v>
      </c>
      <c r="Q31" s="11">
        <v>3</v>
      </c>
      <c r="R31" s="11">
        <v>4</v>
      </c>
      <c r="S31" s="11">
        <v>6</v>
      </c>
      <c r="T31" s="11">
        <v>4</v>
      </c>
      <c r="U31" s="11">
        <v>6</v>
      </c>
      <c r="V31" s="11">
        <v>6</v>
      </c>
      <c r="W31" s="11">
        <v>4</v>
      </c>
      <c r="X31" s="11">
        <v>2</v>
      </c>
      <c r="Y31" s="11">
        <v>5</v>
      </c>
      <c r="Z31" s="11">
        <v>3</v>
      </c>
      <c r="AA31" s="11">
        <v>3</v>
      </c>
      <c r="AB31" s="11">
        <v>6</v>
      </c>
      <c r="AC31" s="11">
        <v>6</v>
      </c>
      <c r="AD31" s="11">
        <v>3</v>
      </c>
      <c r="AE31" s="11">
        <v>5</v>
      </c>
      <c r="AF31" s="11">
        <v>6</v>
      </c>
      <c r="AG31" s="11">
        <v>5</v>
      </c>
      <c r="AH31" s="11">
        <v>2</v>
      </c>
      <c r="AI31" s="11">
        <v>6</v>
      </c>
      <c r="AJ31" s="11">
        <v>5</v>
      </c>
    </row>
    <row r="32" spans="1:36" ht="19.5" customHeight="1" x14ac:dyDescent="0.25">
      <c r="A32" s="10" t="s">
        <v>113</v>
      </c>
      <c r="B32" s="31"/>
      <c r="C32" s="12"/>
      <c r="D32" s="12" t="s">
        <v>37</v>
      </c>
      <c r="E32" s="12" t="s">
        <v>58</v>
      </c>
      <c r="F32" s="13" t="s">
        <v>114</v>
      </c>
      <c r="G32" s="11">
        <f>Table1[[#This Row], [TIPI 1 Item 5]] + 8 - Table1[[#This Row], [TIPI 1 Item 10]]</f>
        <v>13</v>
      </c>
      <c r="H32" s="11">
        <f>Table1[[#This Row], [TIPI 1 Item 3]] + 8 -Table1[[#This Row], [TIPI 1 Item 8]]</f>
        <v>11</v>
      </c>
      <c r="I32" s="11">
        <f>Table1[[#This Row], [TIPI 1 Item 1]] + 8 - Table1[[#This Row], [TIPI 1 Item 6]]</f>
        <v>12</v>
      </c>
      <c r="J32" s="11">
        <f>Table1[[#This Row], [TIPI 1 Item 7]] + 8 - Table1[[#This Row], [TIPI 1 Item 2]]</f>
        <v>12</v>
      </c>
      <c r="K32" s="11">
        <f>Table1[[#This Row], [TIPI 1 Item 4]] + 8 - Table1[[#This Row], [TIPI 1 Item 9]]</f>
        <v>7</v>
      </c>
      <c r="L32" s="11">
        <f>Table1[[#This Row], [TIPI 2 Item 5]] + 8 - Table1[[#This Row], [TIPI 2 Item 10]]</f>
        <v>13</v>
      </c>
      <c r="M32" s="11">
        <f>Table1[[#This Row], [TIPI 2 Item 3]] + 8 -Table1[[#This Row], [TIPI 2 Item 8]]</f>
        <v>12</v>
      </c>
      <c r="N32" s="11">
        <f>Table1[[#This Row], [TIPI 2 Item 1]] + 8 - Table1[[#This Row], [TIPI 2 Item 6]]</f>
        <v>13</v>
      </c>
      <c r="O32" s="11">
        <f>Table1[[#This Row], [TIPI 2 Item 7]] + 8 - Table1[[#This Row], [TIPI 2 Item 2]]</f>
        <v>14</v>
      </c>
      <c r="P32" s="11">
        <f>Table1[[#This Row], [TIPI 2 Item 4]] + 8 - Table1[[#This Row], [TIPI 2 Item 9]]</f>
        <v>4</v>
      </c>
      <c r="Q32" s="11">
        <v>6</v>
      </c>
      <c r="R32" s="11">
        <v>2</v>
      </c>
      <c r="S32" s="11">
        <v>5</v>
      </c>
      <c r="T32" s="11">
        <v>5</v>
      </c>
      <c r="U32" s="11">
        <v>7</v>
      </c>
      <c r="V32" s="11">
        <v>2</v>
      </c>
      <c r="W32" s="11">
        <v>6</v>
      </c>
      <c r="X32" s="11">
        <v>2</v>
      </c>
      <c r="Y32" s="11">
        <v>6</v>
      </c>
      <c r="Z32" s="11">
        <v>2</v>
      </c>
      <c r="AA32" s="11">
        <v>7</v>
      </c>
      <c r="AB32" s="11">
        <v>1</v>
      </c>
      <c r="AC32" s="11">
        <v>5</v>
      </c>
      <c r="AD32" s="11">
        <v>1</v>
      </c>
      <c r="AE32" s="11">
        <v>7</v>
      </c>
      <c r="AF32" s="11">
        <v>2</v>
      </c>
      <c r="AG32" s="11">
        <v>7</v>
      </c>
      <c r="AH32" s="11">
        <v>1</v>
      </c>
      <c r="AI32" s="11">
        <v>5</v>
      </c>
      <c r="AJ32" s="11">
        <v>2</v>
      </c>
    </row>
    <row r="33" spans="1:36" ht="19.5" customHeight="1" x14ac:dyDescent="0.25">
      <c r="A33" s="10" t="s">
        <v>115</v>
      </c>
      <c r="B33" s="31"/>
      <c r="C33" s="12"/>
      <c r="D33" s="12" t="s">
        <v>37</v>
      </c>
      <c r="E33" s="12" t="s">
        <v>58</v>
      </c>
      <c r="F33" s="13" t="s">
        <v>116</v>
      </c>
      <c r="G33" s="11">
        <f>Table1[[#This Row], [TIPI 1 Item 5]] + 8 - Table1[[#This Row], [TIPI 1 Item 10]]</f>
        <v>9</v>
      </c>
      <c r="H33" s="11">
        <f>Table1[[#This Row], [TIPI 1 Item 3]] + 8 -Table1[[#This Row], [TIPI 1 Item 8]]</f>
        <v>12</v>
      </c>
      <c r="I33" s="11">
        <f>Table1[[#This Row], [TIPI 1 Item 1]] + 8 - Table1[[#This Row], [TIPI 1 Item 6]]</f>
        <v>11</v>
      </c>
      <c r="J33" s="11">
        <f>Table1[[#This Row], [TIPI 1 Item 7]] + 8 - Table1[[#This Row], [TIPI 1 Item 2]]</f>
        <v>13</v>
      </c>
      <c r="K33" s="11">
        <f>Table1[[#This Row], [TIPI 1 Item 4]] + 8 - Table1[[#This Row], [TIPI 1 Item 9]]</f>
        <v>9</v>
      </c>
      <c r="L33" s="11">
        <f>Table1[[#This Row], [TIPI 2 Item 5]] + 8 - Table1[[#This Row], [TIPI 2 Item 10]]</f>
        <v>12</v>
      </c>
      <c r="M33" s="11">
        <f>Table1[[#This Row], [TIPI 2 Item 3]] + 8 -Table1[[#This Row], [TIPI 2 Item 8]]</f>
        <v>12</v>
      </c>
      <c r="N33" s="11">
        <f>Table1[[#This Row], [TIPI 2 Item 1]] + 8 - Table1[[#This Row], [TIPI 2 Item 6]]</f>
        <v>11</v>
      </c>
      <c r="O33" s="11">
        <f>Table1[[#This Row], [TIPI 2 Item 7]] + 8 - Table1[[#This Row], [TIPI 2 Item 2]]</f>
        <v>13</v>
      </c>
      <c r="P33" s="11">
        <f>Table1[[#This Row], [TIPI 2 Item 4]] + 8 - Table1[[#This Row], [TIPI 2 Item 9]]</f>
        <v>7</v>
      </c>
      <c r="Q33" s="11">
        <v>7</v>
      </c>
      <c r="R33" s="11">
        <v>1</v>
      </c>
      <c r="S33" s="11">
        <v>6</v>
      </c>
      <c r="T33" s="11">
        <v>5</v>
      </c>
      <c r="U33" s="11">
        <v>6</v>
      </c>
      <c r="V33" s="11">
        <v>4</v>
      </c>
      <c r="W33" s="11">
        <v>6</v>
      </c>
      <c r="X33" s="11">
        <v>2</v>
      </c>
      <c r="Y33" s="11">
        <v>4</v>
      </c>
      <c r="Z33" s="11">
        <v>5</v>
      </c>
      <c r="AA33" s="11">
        <v>5</v>
      </c>
      <c r="AB33" s="11">
        <v>1</v>
      </c>
      <c r="AC33" s="11">
        <v>5</v>
      </c>
      <c r="AD33" s="11">
        <v>5</v>
      </c>
      <c r="AE33" s="11">
        <v>6</v>
      </c>
      <c r="AF33" s="11">
        <v>2</v>
      </c>
      <c r="AG33" s="11">
        <v>6</v>
      </c>
      <c r="AH33" s="11">
        <v>1</v>
      </c>
      <c r="AI33" s="11">
        <v>6</v>
      </c>
      <c r="AJ33" s="11">
        <v>2</v>
      </c>
    </row>
    <row r="34" spans="1:36" ht="19.5" customHeight="1" x14ac:dyDescent="0.25">
      <c r="A34" s="10" t="s">
        <v>117</v>
      </c>
      <c r="B34" s="31"/>
      <c r="C34" s="12"/>
      <c r="D34" s="12" t="s">
        <v>37</v>
      </c>
      <c r="E34" s="12" t="s">
        <v>61</v>
      </c>
      <c r="F34" s="13" t="s">
        <v>118</v>
      </c>
      <c r="G34" s="11">
        <f>Table1[[#This Row], [TIPI 1 Item 5]] + 8 - Table1[[#This Row], [TIPI 1 Item 10]]</f>
        <v>10</v>
      </c>
      <c r="H34" s="11">
        <f>Table1[[#This Row], [TIPI 1 Item 3]] + 8 -Table1[[#This Row], [TIPI 1 Item 8]]</f>
        <v>6</v>
      </c>
      <c r="I34" s="11">
        <f>Table1[[#This Row], [TIPI 1 Item 1]] + 8 - Table1[[#This Row], [TIPI 1 Item 6]]</f>
        <v>5</v>
      </c>
      <c r="J34" s="11">
        <f>Table1[[#This Row], [TIPI 1 Item 7]] + 8 - Table1[[#This Row], [TIPI 1 Item 2]]</f>
        <v>7</v>
      </c>
      <c r="K34" s="11">
        <f>Table1[[#This Row], [TIPI 1 Item 4]] + 8 - Table1[[#This Row], [TIPI 1 Item 9]]</f>
        <v>11</v>
      </c>
      <c r="L34" s="11">
        <f>Table1[[#This Row], [TIPI 2 Item 5]] + 8 - Table1[[#This Row], [TIPI 2 Item 10]]</f>
        <v>10</v>
      </c>
      <c r="M34" s="11">
        <f>Table1[[#This Row], [TIPI 2 Item 3]] + 8 -Table1[[#This Row], [TIPI 2 Item 8]]</f>
        <v>7</v>
      </c>
      <c r="N34" s="11">
        <f>Table1[[#This Row], [TIPI 2 Item 1]] + 8 - Table1[[#This Row], [TIPI 2 Item 6]]</f>
        <v>6</v>
      </c>
      <c r="O34" s="11">
        <f>Table1[[#This Row], [TIPI 2 Item 7]] + 8 - Table1[[#This Row], [TIPI 2 Item 2]]</f>
        <v>8</v>
      </c>
      <c r="P34" s="11">
        <f>Table1[[#This Row], [TIPI 2 Item 4]] + 8 - Table1[[#This Row], [TIPI 2 Item 9]]</f>
        <v>9</v>
      </c>
      <c r="Q34" s="11">
        <v>2</v>
      </c>
      <c r="R34" s="11">
        <v>5</v>
      </c>
      <c r="S34" s="11">
        <v>3</v>
      </c>
      <c r="T34" s="11">
        <v>5</v>
      </c>
      <c r="U34" s="11">
        <v>5</v>
      </c>
      <c r="V34" s="11">
        <v>5</v>
      </c>
      <c r="W34" s="11">
        <v>4</v>
      </c>
      <c r="X34" s="11">
        <v>5</v>
      </c>
      <c r="Y34" s="11">
        <v>2</v>
      </c>
      <c r="Z34" s="11">
        <v>3</v>
      </c>
      <c r="AA34" s="11">
        <v>3</v>
      </c>
      <c r="AB34" s="11">
        <v>4</v>
      </c>
      <c r="AC34" s="11">
        <v>4</v>
      </c>
      <c r="AD34" s="11">
        <v>5</v>
      </c>
      <c r="AE34" s="11">
        <v>5</v>
      </c>
      <c r="AF34" s="11">
        <v>5</v>
      </c>
      <c r="AG34" s="11">
        <v>4</v>
      </c>
      <c r="AH34" s="11">
        <v>5</v>
      </c>
      <c r="AI34" s="11">
        <v>4</v>
      </c>
      <c r="AJ34" s="11">
        <v>3</v>
      </c>
    </row>
    <row r="35" spans="1:36" ht="19.5" customHeight="1" x14ac:dyDescent="0.25">
      <c r="A35" s="10" t="s">
        <v>119</v>
      </c>
      <c r="B35" s="31"/>
      <c r="C35" s="12"/>
      <c r="D35" s="12" t="s">
        <v>68</v>
      </c>
      <c r="E35" s="12" t="s">
        <v>53</v>
      </c>
      <c r="F35" s="13" t="s">
        <v>120</v>
      </c>
      <c r="G35" s="11">
        <f>Table1[[#This Row], [TIPI 1 Item 5]] + 8 - Table1[[#This Row], [TIPI 1 Item 10]]</f>
        <v>13</v>
      </c>
      <c r="H35" s="11">
        <f>Table1[[#This Row], [TIPI 1 Item 3]] + 8 -Table1[[#This Row], [TIPI 1 Item 8]]</f>
        <v>14</v>
      </c>
      <c r="I35" s="11">
        <f>Table1[[#This Row], [TIPI 1 Item 1]] + 8 - Table1[[#This Row], [TIPI 1 Item 6]]</f>
        <v>10</v>
      </c>
      <c r="J35" s="11">
        <f>Table1[[#This Row], [TIPI 1 Item 7]] + 8 - Table1[[#This Row], [TIPI 1 Item 2]]</f>
        <v>11</v>
      </c>
      <c r="K35" s="11">
        <f>Table1[[#This Row], [TIPI 1 Item 4]] + 8 - Table1[[#This Row], [TIPI 1 Item 9]]</f>
        <v>9</v>
      </c>
      <c r="L35" s="11">
        <f>Table1[[#This Row], [TIPI 2 Item 5]] + 8 - Table1[[#This Row], [TIPI 2 Item 10]]</f>
        <v>13</v>
      </c>
      <c r="M35" s="11">
        <f>Table1[[#This Row], [TIPI 2 Item 3]] + 8 -Table1[[#This Row], [TIPI 2 Item 8]]</f>
        <v>14</v>
      </c>
      <c r="N35" s="11">
        <f>Table1[[#This Row], [TIPI 2 Item 1]] + 8 - Table1[[#This Row], [TIPI 2 Item 6]]</f>
        <v>10</v>
      </c>
      <c r="O35" s="11">
        <f>Table1[[#This Row], [TIPI 2 Item 7]] + 8 - Table1[[#This Row], [TIPI 2 Item 2]]</f>
        <v>11</v>
      </c>
      <c r="P35" s="11">
        <f>Table1[[#This Row], [TIPI 2 Item 4]] + 8 - Table1[[#This Row], [TIPI 2 Item 9]]</f>
        <v>9</v>
      </c>
      <c r="Q35" s="11">
        <v>6</v>
      </c>
      <c r="R35" s="11">
        <v>4</v>
      </c>
      <c r="S35" s="11">
        <v>7</v>
      </c>
      <c r="T35" s="11">
        <v>5</v>
      </c>
      <c r="U35" s="11">
        <v>6</v>
      </c>
      <c r="V35" s="11">
        <v>4</v>
      </c>
      <c r="W35" s="11">
        <v>7</v>
      </c>
      <c r="X35" s="11">
        <v>1</v>
      </c>
      <c r="Y35" s="11">
        <v>4</v>
      </c>
      <c r="Z35" s="11">
        <v>1</v>
      </c>
      <c r="AA35" s="11">
        <v>6</v>
      </c>
      <c r="AB35" s="11">
        <v>4</v>
      </c>
      <c r="AC35" s="11">
        <v>7</v>
      </c>
      <c r="AD35" s="11">
        <v>5</v>
      </c>
      <c r="AE35" s="11">
        <v>6</v>
      </c>
      <c r="AF35" s="11">
        <v>4</v>
      </c>
      <c r="AG35" s="11">
        <v>7</v>
      </c>
      <c r="AH35" s="11">
        <v>1</v>
      </c>
      <c r="AI35" s="11">
        <v>4</v>
      </c>
      <c r="AJ35" s="11">
        <v>1</v>
      </c>
    </row>
    <row r="36" spans="1:36" ht="20.25" customHeight="1" x14ac:dyDescent="0.25">
      <c r="A36" s="10" t="s">
        <v>121</v>
      </c>
      <c r="B36" s="31"/>
      <c r="C36" s="12"/>
      <c r="D36" s="12" t="s">
        <v>68</v>
      </c>
      <c r="E36" s="12" t="s">
        <v>50</v>
      </c>
      <c r="F36" s="13" t="s">
        <v>122</v>
      </c>
      <c r="G36" s="11">
        <f>Table1[[#This Row], [TIPI 1 Item 5]] + 8 - Table1[[#This Row], [TIPI 1 Item 10]]</f>
        <v>13</v>
      </c>
      <c r="H36" s="11">
        <f>Table1[[#This Row], [TIPI 1 Item 3]] + 8 -Table1[[#This Row], [TIPI 1 Item 8]]</f>
        <v>11</v>
      </c>
      <c r="I36" s="11">
        <f>Table1[[#This Row], [TIPI 1 Item 1]] + 8 - Table1[[#This Row], [TIPI 1 Item 6]]</f>
        <v>6</v>
      </c>
      <c r="J36" s="11">
        <f>Table1[[#This Row], [TIPI 1 Item 7]] + 8 - Table1[[#This Row], [TIPI 1 Item 2]]</f>
        <v>11</v>
      </c>
      <c r="K36" s="11">
        <f>Table1[[#This Row], [TIPI 1 Item 4]] + 8 - Table1[[#This Row], [TIPI 1 Item 9]]</f>
        <v>12</v>
      </c>
      <c r="L36" s="11">
        <f>Table1[[#This Row], [TIPI 2 Item 5]] + 8 - Table1[[#This Row], [TIPI 2 Item 10]]</f>
        <v>12</v>
      </c>
      <c r="M36" s="11">
        <f>Table1[[#This Row], [TIPI 2 Item 3]] + 8 -Table1[[#This Row], [TIPI 2 Item 8]]</f>
        <v>9</v>
      </c>
      <c r="N36" s="11">
        <f>Table1[[#This Row], [TIPI 2 Item 1]] + 8 - Table1[[#This Row], [TIPI 2 Item 6]]</f>
        <v>8</v>
      </c>
      <c r="O36" s="11">
        <f>Table1[[#This Row], [TIPI 2 Item 7]] + 8 - Table1[[#This Row], [TIPI 2 Item 2]]</f>
        <v>9</v>
      </c>
      <c r="P36" s="11">
        <f>Table1[[#This Row], [TIPI 2 Item 4]] + 8 - Table1[[#This Row], [TIPI 2 Item 9]]</f>
        <v>13</v>
      </c>
      <c r="Q36" s="11">
        <v>2</v>
      </c>
      <c r="R36" s="11">
        <v>3</v>
      </c>
      <c r="S36" s="11">
        <v>5</v>
      </c>
      <c r="T36" s="11">
        <v>6</v>
      </c>
      <c r="U36" s="11">
        <v>7</v>
      </c>
      <c r="V36" s="11">
        <v>4</v>
      </c>
      <c r="W36" s="11">
        <v>6</v>
      </c>
      <c r="X36" s="11">
        <v>2</v>
      </c>
      <c r="Y36" s="11">
        <v>2</v>
      </c>
      <c r="Z36" s="11">
        <v>2</v>
      </c>
      <c r="AA36" s="11">
        <v>2</v>
      </c>
      <c r="AB36" s="11">
        <v>5</v>
      </c>
      <c r="AC36" s="11">
        <v>4</v>
      </c>
      <c r="AD36" s="11">
        <v>6</v>
      </c>
      <c r="AE36" s="11">
        <v>7</v>
      </c>
      <c r="AF36" s="11">
        <v>2</v>
      </c>
      <c r="AG36" s="11">
        <v>6</v>
      </c>
      <c r="AH36" s="11">
        <v>3</v>
      </c>
      <c r="AI36" s="11">
        <v>1</v>
      </c>
      <c r="AJ36" s="11">
        <v>3</v>
      </c>
    </row>
    <row r="37" spans="1:36" ht="18.75" customHeight="1" x14ac:dyDescent="0.2">
      <c r="A37" s="20" t="s">
        <v>123</v>
      </c>
      <c r="B37" s="33"/>
      <c r="C37" s="21"/>
      <c r="D37" s="21"/>
      <c r="E37" s="21"/>
      <c r="F37" s="22"/>
      <c r="G37" s="23">
        <f>SUBTOTAL(101,Table1[TIPI 1 O])</f>
        <v>10.942857142857143</v>
      </c>
      <c r="H37" s="23">
        <f>SUBTOTAL(101,Table1[TIPI 1 C])</f>
        <v>10.885714285714286</v>
      </c>
      <c r="I37" s="23">
        <f>SUBTOTAL(101,Table1[TIPI 1 E])</f>
        <v>8.8857142857142861</v>
      </c>
      <c r="J37" s="24">
        <f>SUBTOTAL(101,Table1[TIPI 1 A])</f>
        <v>10</v>
      </c>
      <c r="K37" s="23">
        <f>SUBTOTAL(101,Table1[TIPI 1 N])</f>
        <v>6.4857142857142858</v>
      </c>
      <c r="L37" s="23">
        <f>SUBTOTAL(101,Table1[TIPI 2 O])</f>
        <v>11.057142857142857</v>
      </c>
      <c r="M37" s="23">
        <f>SUBTOTAL(101,Table1[TIPI 2 C])</f>
        <v>10.428571428571429</v>
      </c>
      <c r="N37" s="23">
        <f>SUBTOTAL(101,Table1[TIPI 2 E])</f>
        <v>9.1714285714285708</v>
      </c>
      <c r="O37" s="23">
        <f>SUBTOTAL(101,Table1[TIPI 2 A])</f>
        <v>9.7714285714285722</v>
      </c>
      <c r="P37" s="23">
        <f>SUBTOTAL(101,Table1[TIPI 2 N])</f>
        <v>6.3428571428571425</v>
      </c>
      <c r="Q37" s="23">
        <f>SUBTOTAL(101,Table1[TIPI 1 Item 1])</f>
        <v>4.9428571428571431</v>
      </c>
      <c r="R37" s="23">
        <f>SUBTOTAL(101,Table1[TIPI 1 Item 2])</f>
        <v>3.4571428571428573</v>
      </c>
      <c r="S37" s="23">
        <f>SUBTOTAL(101,Table1[TIPI 1 Item 3])</f>
        <v>5.5142857142857142</v>
      </c>
      <c r="T37" s="23">
        <f>SUBTOTAL(101,Table1[TIPI 1 Item 4])</f>
        <v>3.4571428571428573</v>
      </c>
      <c r="U37" s="24">
        <f>SUBTOTAL(101,Table1[TIPI 1 Item 5])</f>
        <v>6</v>
      </c>
      <c r="V37" s="23">
        <f>SUBTOTAL(101,Table1[TIPI 1 Item 6])</f>
        <v>4.0571428571428569</v>
      </c>
      <c r="W37" s="23">
        <f>SUBTOTAL(101,Table1[TIPI 1 Item 7])</f>
        <v>5.4571428571428573</v>
      </c>
      <c r="X37" s="23">
        <f>SUBTOTAL(101,Table1[TIPI 1 Item 8])</f>
        <v>2.6285714285714286</v>
      </c>
      <c r="Y37" s="23">
        <f>SUBTOTAL(101,Table1[TIPI 1 Item 9])</f>
        <v>4.9714285714285715</v>
      </c>
      <c r="Z37" s="23">
        <f>SUBTOTAL(101,Table1[TIPI 1 Item 10])</f>
        <v>3.0571428571428569</v>
      </c>
      <c r="AA37" s="23">
        <f>SUBTOTAL(101,Table1[TIPI 2 Item 1])</f>
        <v>4.9142857142857146</v>
      </c>
      <c r="AB37" s="23">
        <f>SUBTOTAL(101,Table1[TIPI 2 Item 2])</f>
        <v>3.8285714285714287</v>
      </c>
      <c r="AC37" s="23">
        <f>SUBTOTAL(101,Table1[TIPI 2 Item 3])</f>
        <v>5.2857142857142856</v>
      </c>
      <c r="AD37" s="23">
        <f>SUBTOTAL(101,Table1[TIPI 2 Item 4])</f>
        <v>3.2857142857142856</v>
      </c>
      <c r="AE37" s="23">
        <f>SUBTOTAL(101,Table1[TIPI 2 Item 5])</f>
        <v>6.0857142857142854</v>
      </c>
      <c r="AF37" s="23">
        <f>SUBTOTAL(101,Table1[TIPI 2 Item 6])</f>
        <v>3.7428571428571429</v>
      </c>
      <c r="AG37" s="23">
        <f>SUBTOTAL(101,Table1[TIPI 2 Item 7])</f>
        <v>5.6</v>
      </c>
      <c r="AH37" s="23">
        <f>SUBTOTAL(101,Table1[TIPI 2 Item 8])</f>
        <v>2.8571428571428572</v>
      </c>
      <c r="AI37" s="23">
        <f>SUBTOTAL(101,Table1[TIPI 2 Item 9])</f>
        <v>4.9428571428571431</v>
      </c>
      <c r="AJ37" s="24">
        <f>SUBTOTAL(103,Table1[TIPI 2 Item 10])</f>
        <v>35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Dang Phuong Nam</cp:lastModifiedBy>
  <dcterms:created xsi:type="dcterms:W3CDTF">2025-09-23T09:44:56Z</dcterms:created>
  <dcterms:modified xsi:type="dcterms:W3CDTF">2025-09-26T14:44:03Z</dcterms:modified>
</cp:coreProperties>
</file>